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C:\SynergyProjects\WorkingProjects\CM620C_MotAg0Meas_Design-tz8cy0\CM620C_MotAg0Meas_Design\Design\"/>
    </mc:Choice>
  </mc:AlternateContent>
  <bookViews>
    <workbookView xWindow="240" yWindow="588" windowWidth="8856" windowHeight="3348" tabRatio="236"/>
  </bookViews>
  <sheets>
    <sheet name="RegisterConfig" sheetId="1" r:id="rId1"/>
    <sheet name="Buffer" sheetId="3" r:id="rId2"/>
    <sheet name="Reference Info" sheetId="4" r:id="rId3"/>
  </sheets>
  <functionGroups builtInGroupCount="18"/>
  <definedNames>
    <definedName name="_xlnm._FilterDatabase" localSheetId="0" hidden="1">RegisterConfig!$A$2:$J$246</definedName>
  </definedNames>
  <calcPr calcId="171027"/>
</workbook>
</file>

<file path=xl/calcChain.xml><?xml version="1.0" encoding="utf-8"?>
<calcChain xmlns="http://schemas.openxmlformats.org/spreadsheetml/2006/main">
  <c r="G4" i="3" l="1"/>
  <c r="X4" i="3"/>
  <c r="G5" i="3"/>
  <c r="K5" i="3" s="1"/>
  <c r="H5" i="3"/>
  <c r="L5" i="3"/>
  <c r="M5" i="3"/>
  <c r="N5" i="3"/>
  <c r="P5" i="3"/>
  <c r="Q5" i="3"/>
  <c r="R5" i="3"/>
  <c r="T5" i="3"/>
  <c r="U5" i="3"/>
  <c r="V5" i="3"/>
  <c r="X5" i="3"/>
  <c r="Y5" i="3"/>
  <c r="G6" i="3"/>
  <c r="K6" i="3"/>
  <c r="G7" i="3"/>
  <c r="R7" i="3" s="1"/>
  <c r="H7" i="3"/>
  <c r="N7" i="3"/>
  <c r="P7" i="3"/>
  <c r="T7" i="3"/>
  <c r="U7" i="3"/>
  <c r="X7" i="3"/>
  <c r="G8" i="3"/>
  <c r="S8" i="3"/>
  <c r="G9" i="3"/>
  <c r="R9" i="3" s="1"/>
  <c r="Q9" i="3"/>
  <c r="G10" i="3"/>
  <c r="O10" i="3" s="1"/>
  <c r="J10" i="3"/>
  <c r="N10" i="3"/>
  <c r="G11" i="3"/>
  <c r="M11" i="3" s="1"/>
  <c r="G12" i="3"/>
  <c r="J12" i="3" s="1"/>
  <c r="X12" i="3"/>
  <c r="G13" i="3"/>
  <c r="M13" i="3" s="1"/>
  <c r="G14" i="3"/>
  <c r="K14" i="3" s="1"/>
  <c r="J14" i="3"/>
  <c r="L14" i="3"/>
  <c r="G15" i="3"/>
  <c r="M15" i="3" s="1"/>
  <c r="H15" i="3"/>
  <c r="G16" i="3"/>
  <c r="N16" i="3" s="1"/>
  <c r="L16" i="3"/>
  <c r="G17" i="3"/>
  <c r="Q17" i="3" s="1"/>
  <c r="G18" i="3"/>
  <c r="S18" i="3" s="1"/>
  <c r="J18" i="3"/>
  <c r="G19" i="3"/>
  <c r="V19" i="3" s="1"/>
  <c r="Q19" i="3"/>
  <c r="G20" i="3"/>
  <c r="K20" i="3" s="1"/>
  <c r="J20" i="3"/>
  <c r="G21" i="3"/>
  <c r="H21" i="3" s="1"/>
  <c r="G22" i="3"/>
  <c r="K22" i="3" s="1"/>
  <c r="D72" i="3"/>
  <c r="E72" i="3"/>
  <c r="H72" i="3"/>
  <c r="D73" i="3"/>
  <c r="E73" i="3"/>
  <c r="H73" i="3"/>
  <c r="D74" i="3"/>
  <c r="E74" i="3"/>
  <c r="H74" i="3"/>
  <c r="D75" i="3"/>
  <c r="E75" i="3"/>
  <c r="H75" i="3"/>
  <c r="D76" i="3"/>
  <c r="E76" i="3"/>
  <c r="H76" i="3"/>
  <c r="D77" i="3"/>
  <c r="E77" i="3"/>
  <c r="H77" i="3"/>
  <c r="D78" i="3"/>
  <c r="E78" i="3"/>
  <c r="H78" i="3"/>
  <c r="D79" i="3"/>
  <c r="E79" i="3"/>
  <c r="H79" i="3"/>
  <c r="D80" i="3"/>
  <c r="E80" i="3"/>
  <c r="H80" i="3"/>
  <c r="D81" i="3"/>
  <c r="E81" i="3"/>
  <c r="H81" i="3"/>
  <c r="D82" i="3"/>
  <c r="E82" i="3"/>
  <c r="H82" i="3"/>
  <c r="D83" i="3"/>
  <c r="E83" i="3"/>
  <c r="H83" i="3"/>
  <c r="D84" i="3"/>
  <c r="E84" i="3"/>
  <c r="H84" i="3"/>
  <c r="D85" i="3"/>
  <c r="E85" i="3"/>
  <c r="H85" i="3"/>
  <c r="D86" i="3"/>
  <c r="E86" i="3"/>
  <c r="H86" i="3"/>
  <c r="D87" i="3"/>
  <c r="E87" i="3"/>
  <c r="H87" i="3"/>
  <c r="D88" i="3"/>
  <c r="E88" i="3"/>
  <c r="H88" i="3"/>
  <c r="D89" i="3"/>
  <c r="E89" i="3"/>
  <c r="H89" i="3"/>
  <c r="D90" i="3"/>
  <c r="E90" i="3"/>
  <c r="H90" i="3"/>
  <c r="R22" i="3" l="1"/>
  <c r="P22" i="3"/>
  <c r="W14" i="3"/>
  <c r="M7" i="3"/>
  <c r="J5" i="3"/>
  <c r="T22" i="3"/>
  <c r="L22" i="3"/>
  <c r="S14" i="3"/>
  <c r="X22" i="3"/>
  <c r="W22" i="3"/>
  <c r="J22" i="3"/>
  <c r="R14" i="3"/>
  <c r="R11" i="3"/>
  <c r="X20" i="3"/>
  <c r="V20" i="3"/>
  <c r="X19" i="3"/>
  <c r="R17" i="3"/>
  <c r="Y15" i="3"/>
  <c r="S22" i="3"/>
  <c r="X21" i="3"/>
  <c r="T20" i="3"/>
  <c r="R19" i="3"/>
  <c r="X15" i="3"/>
  <c r="T14" i="3"/>
  <c r="Y13" i="3"/>
  <c r="T21" i="3"/>
  <c r="S20" i="3"/>
  <c r="X13" i="3"/>
  <c r="T13" i="3"/>
  <c r="O22" i="3"/>
  <c r="O20" i="3"/>
  <c r="T18" i="3"/>
  <c r="W16" i="3"/>
  <c r="N15" i="3"/>
  <c r="P14" i="3"/>
  <c r="N13" i="3"/>
  <c r="X10" i="3"/>
  <c r="U15" i="3"/>
  <c r="R21" i="3"/>
  <c r="P20" i="3"/>
  <c r="X16" i="3"/>
  <c r="R15" i="3"/>
  <c r="M21" i="3"/>
  <c r="Y22" i="3"/>
  <c r="N22" i="3"/>
  <c r="N20" i="3"/>
  <c r="N18" i="3"/>
  <c r="R16" i="3"/>
  <c r="J15" i="3"/>
  <c r="O14" i="3"/>
  <c r="H13" i="3"/>
  <c r="S10" i="3"/>
  <c r="F90" i="3"/>
  <c r="G90" i="3" s="1"/>
  <c r="F77" i="3"/>
  <c r="G77" i="3" s="1"/>
  <c r="H17" i="3"/>
  <c r="T17" i="3"/>
  <c r="J17" i="3"/>
  <c r="U17" i="3"/>
  <c r="L17" i="3"/>
  <c r="V17" i="3"/>
  <c r="M17" i="3"/>
  <c r="X17" i="3"/>
  <c r="N17" i="3"/>
  <c r="Y17" i="3"/>
  <c r="P17" i="3"/>
  <c r="K12" i="3"/>
  <c r="N12" i="3"/>
  <c r="O12" i="3"/>
  <c r="P12" i="3"/>
  <c r="S12" i="3"/>
  <c r="T12" i="3"/>
  <c r="H9" i="3"/>
  <c r="T9" i="3"/>
  <c r="J9" i="3"/>
  <c r="U9" i="3"/>
  <c r="L9" i="3"/>
  <c r="V9" i="3"/>
  <c r="M9" i="3"/>
  <c r="X9" i="3"/>
  <c r="N9" i="3"/>
  <c r="Y9" i="3"/>
  <c r="P9" i="3"/>
  <c r="V12" i="3"/>
  <c r="V6" i="3"/>
  <c r="W6" i="3"/>
  <c r="M19" i="3"/>
  <c r="F84" i="3"/>
  <c r="G84" i="3" s="1"/>
  <c r="F76" i="3"/>
  <c r="G76" i="3" s="1"/>
  <c r="V22" i="3"/>
  <c r="L19" i="3"/>
  <c r="S16" i="3"/>
  <c r="T15" i="3"/>
  <c r="X14" i="3"/>
  <c r="N14" i="3"/>
  <c r="R13" i="3"/>
  <c r="Y7" i="3"/>
  <c r="J7" i="3"/>
  <c r="F81" i="3"/>
  <c r="G81" i="3" s="1"/>
  <c r="F73" i="3"/>
  <c r="G73" i="3" s="1"/>
  <c r="X18" i="3"/>
  <c r="P15" i="3"/>
  <c r="V14" i="3"/>
  <c r="T10" i="3"/>
  <c r="F88" i="3"/>
  <c r="G88" i="3" s="1"/>
  <c r="F80" i="3"/>
  <c r="G80" i="3" s="1"/>
  <c r="F87" i="3"/>
  <c r="G87" i="3" s="1"/>
  <c r="F85" i="3"/>
  <c r="G85" i="3" s="1"/>
  <c r="F89" i="3"/>
  <c r="G89" i="3" s="1"/>
  <c r="F83" i="3"/>
  <c r="G83" i="3" s="1"/>
  <c r="F79" i="3"/>
  <c r="G79" i="3" s="1"/>
  <c r="F75" i="3"/>
  <c r="G75" i="3" s="1"/>
  <c r="H8" i="3"/>
  <c r="M8" i="3"/>
  <c r="Q8" i="3"/>
  <c r="U8" i="3"/>
  <c r="Y8" i="3"/>
  <c r="J8" i="3"/>
  <c r="O8" i="3"/>
  <c r="T8" i="3"/>
  <c r="K8" i="3"/>
  <c r="P8" i="3"/>
  <c r="V8" i="3"/>
  <c r="H4" i="3"/>
  <c r="M4" i="3"/>
  <c r="Q4" i="3"/>
  <c r="U4" i="3"/>
  <c r="Y4" i="3"/>
  <c r="J4" i="3"/>
  <c r="N4" i="3"/>
  <c r="R4" i="3"/>
  <c r="V4" i="3"/>
  <c r="K4" i="3"/>
  <c r="S4" i="3"/>
  <c r="L4" i="3"/>
  <c r="T4" i="3"/>
  <c r="Q11" i="3"/>
  <c r="R8" i="3"/>
  <c r="H6" i="3"/>
  <c r="M6" i="3"/>
  <c r="Q6" i="3"/>
  <c r="U6" i="3"/>
  <c r="Y6" i="3"/>
  <c r="J6" i="3"/>
  <c r="N6" i="3"/>
  <c r="L6" i="3"/>
  <c r="S6" i="3"/>
  <c r="X6" i="3"/>
  <c r="O6" i="3"/>
  <c r="T6" i="3"/>
  <c r="W4" i="3"/>
  <c r="K21" i="3"/>
  <c r="O21" i="3"/>
  <c r="S21" i="3"/>
  <c r="W21" i="3"/>
  <c r="J21" i="3"/>
  <c r="P21" i="3"/>
  <c r="U21" i="3"/>
  <c r="L21" i="3"/>
  <c r="Q21" i="3"/>
  <c r="V21" i="3"/>
  <c r="H18" i="3"/>
  <c r="M18" i="3"/>
  <c r="Q18" i="3"/>
  <c r="U18" i="3"/>
  <c r="Y18" i="3"/>
  <c r="K18" i="3"/>
  <c r="P18" i="3"/>
  <c r="V18" i="3"/>
  <c r="L18" i="3"/>
  <c r="R18" i="3"/>
  <c r="W18" i="3"/>
  <c r="X11" i="3"/>
  <c r="X8" i="3"/>
  <c r="N8" i="3"/>
  <c r="R6" i="3"/>
  <c r="P4" i="3"/>
  <c r="K11" i="3"/>
  <c r="O11" i="3"/>
  <c r="S11" i="3"/>
  <c r="W11" i="3"/>
  <c r="H11" i="3"/>
  <c r="N11" i="3"/>
  <c r="T11" i="3"/>
  <c r="Y11" i="3"/>
  <c r="J11" i="3"/>
  <c r="P11" i="3"/>
  <c r="U11" i="3"/>
  <c r="Y21" i="3"/>
  <c r="N21" i="3"/>
  <c r="K19" i="3"/>
  <c r="O19" i="3"/>
  <c r="S19" i="3"/>
  <c r="W19" i="3"/>
  <c r="H19" i="3"/>
  <c r="N19" i="3"/>
  <c r="T19" i="3"/>
  <c r="Y19" i="3"/>
  <c r="J19" i="3"/>
  <c r="P19" i="3"/>
  <c r="U19" i="3"/>
  <c r="O18" i="3"/>
  <c r="H16" i="3"/>
  <c r="M16" i="3"/>
  <c r="Q16" i="3"/>
  <c r="U16" i="3"/>
  <c r="Y16" i="3"/>
  <c r="J16" i="3"/>
  <c r="O16" i="3"/>
  <c r="T16" i="3"/>
  <c r="K16" i="3"/>
  <c r="P16" i="3"/>
  <c r="V16" i="3"/>
  <c r="K13" i="3"/>
  <c r="O13" i="3"/>
  <c r="S13" i="3"/>
  <c r="W13" i="3"/>
  <c r="J13" i="3"/>
  <c r="P13" i="3"/>
  <c r="U13" i="3"/>
  <c r="L13" i="3"/>
  <c r="Q13" i="3"/>
  <c r="V13" i="3"/>
  <c r="V11" i="3"/>
  <c r="L11" i="3"/>
  <c r="H10" i="3"/>
  <c r="M10" i="3"/>
  <c r="Q10" i="3"/>
  <c r="U10" i="3"/>
  <c r="Y10" i="3"/>
  <c r="K10" i="3"/>
  <c r="P10" i="3"/>
  <c r="V10" i="3"/>
  <c r="L10" i="3"/>
  <c r="R10" i="3"/>
  <c r="W10" i="3"/>
  <c r="W8" i="3"/>
  <c r="L8" i="3"/>
  <c r="P6" i="3"/>
  <c r="O4" i="3"/>
  <c r="H20" i="3"/>
  <c r="M20" i="3"/>
  <c r="Q20" i="3"/>
  <c r="U20" i="3"/>
  <c r="Y20" i="3"/>
  <c r="K15" i="3"/>
  <c r="O15" i="3"/>
  <c r="S15" i="3"/>
  <c r="W15" i="3"/>
  <c r="H12" i="3"/>
  <c r="M12" i="3"/>
  <c r="Q12" i="3"/>
  <c r="U12" i="3"/>
  <c r="Y12" i="3"/>
  <c r="K7" i="3"/>
  <c r="O7" i="3"/>
  <c r="S7" i="3"/>
  <c r="W7" i="3"/>
  <c r="H22" i="3"/>
  <c r="M22" i="3"/>
  <c r="Q22" i="3"/>
  <c r="U22" i="3"/>
  <c r="W20" i="3"/>
  <c r="R20" i="3"/>
  <c r="L20" i="3"/>
  <c r="K17" i="3"/>
  <c r="O17" i="3"/>
  <c r="S17" i="3"/>
  <c r="W17" i="3"/>
  <c r="V15" i="3"/>
  <c r="Q15" i="3"/>
  <c r="L15" i="3"/>
  <c r="H14" i="3"/>
  <c r="M14" i="3"/>
  <c r="Q14" i="3"/>
  <c r="U14" i="3"/>
  <c r="Y14" i="3"/>
  <c r="W12" i="3"/>
  <c r="R12" i="3"/>
  <c r="L12" i="3"/>
  <c r="K9" i="3"/>
  <c r="O9" i="3"/>
  <c r="S9" i="3"/>
  <c r="W9" i="3"/>
  <c r="V7" i="3"/>
  <c r="Q7" i="3"/>
  <c r="L7" i="3"/>
  <c r="W5" i="3"/>
  <c r="S5" i="3"/>
  <c r="O5" i="3"/>
  <c r="F72" i="3"/>
  <c r="G72" i="3" s="1"/>
  <c r="F86" i="3"/>
  <c r="G86" i="3" s="1"/>
  <c r="F82" i="3"/>
  <c r="G82" i="3" s="1"/>
  <c r="F78" i="3"/>
  <c r="G78" i="3" s="1"/>
  <c r="F74" i="3"/>
  <c r="G74" i="3" s="1"/>
  <c r="E71" i="3"/>
  <c r="D71" i="3"/>
  <c r="G3" i="3" l="1"/>
  <c r="H71" i="3" l="1"/>
  <c r="H3" i="3" l="1"/>
  <c r="T3" i="3"/>
  <c r="L3" i="3"/>
  <c r="S3" i="3"/>
  <c r="J3" i="3"/>
  <c r="R3" i="3"/>
  <c r="K3" i="3"/>
  <c r="Y3" i="3"/>
  <c r="N3" i="3"/>
  <c r="U3" i="3"/>
  <c r="M3" i="3"/>
  <c r="X3" i="3"/>
  <c r="W3" i="3"/>
  <c r="O3" i="3"/>
  <c r="P3" i="3"/>
  <c r="V3" i="3"/>
  <c r="Q3" i="3"/>
  <c r="F71" i="3"/>
  <c r="G71" i="3" s="1"/>
</calcChain>
</file>

<file path=xl/sharedStrings.xml><?xml version="1.0" encoding="utf-8"?>
<sst xmlns="http://schemas.openxmlformats.org/spreadsheetml/2006/main" count="1377" uniqueCount="551">
  <si>
    <t>Order</t>
  </si>
  <si>
    <t>Feature/Function</t>
  </si>
  <si>
    <t>Register</t>
  </si>
  <si>
    <t>Field</t>
  </si>
  <si>
    <t>Header File Definition</t>
  </si>
  <si>
    <t>Value (Decimal)</t>
  </si>
  <si>
    <t>Notes</t>
  </si>
  <si>
    <t>CSIH1CTL0</t>
  </si>
  <si>
    <t>CSIH1MBS</t>
  </si>
  <si>
    <t>CSIH1JOBE</t>
  </si>
  <si>
    <t>CSIH1RXE</t>
  </si>
  <si>
    <t>CSIH1TXE</t>
  </si>
  <si>
    <t>CSIH1PWR</t>
  </si>
  <si>
    <t>CSIH1STR0</t>
  </si>
  <si>
    <t>CSIH1OVE</t>
  </si>
  <si>
    <t>CSIH1PE</t>
  </si>
  <si>
    <t>CSIH1DCE</t>
  </si>
  <si>
    <t>CSIH1EMF</t>
  </si>
  <si>
    <t>CSIH1FLF</t>
  </si>
  <si>
    <t>CSIH1TSF</t>
  </si>
  <si>
    <t>CSIH1HPST</t>
  </si>
  <si>
    <t>CSIH1OFE</t>
  </si>
  <si>
    <t>CSIH1TMOE</t>
  </si>
  <si>
    <t>CSIH1SPF</t>
  </si>
  <si>
    <t>CSIH1SRP</t>
  </si>
  <si>
    <t>CSIH1STCR0</t>
  </si>
  <si>
    <t>CSIH1OVEC</t>
  </si>
  <si>
    <t>CSIH1PEC</t>
  </si>
  <si>
    <t>CSIH1DCEC</t>
  </si>
  <si>
    <t>CSIH1PCT</t>
  </si>
  <si>
    <t>CSIH1OFEC</t>
  </si>
  <si>
    <t>CSIH1TMOEC</t>
  </si>
  <si>
    <t>CSIH1CTL1</t>
  </si>
  <si>
    <t>CSIH1SSE</t>
  </si>
  <si>
    <t>CSIH1HSE</t>
  </si>
  <si>
    <t>CSIH1SIT</t>
  </si>
  <si>
    <t>CSIH1LBM</t>
  </si>
  <si>
    <t>CSIH1CSRI</t>
  </si>
  <si>
    <t>CSIH1DCS</t>
  </si>
  <si>
    <t>CSIH1JE</t>
  </si>
  <si>
    <t>CSIH1EDLE</t>
  </si>
  <si>
    <t>CSIH1CSL0</t>
  </si>
  <si>
    <t>CSIH1CSL1</t>
  </si>
  <si>
    <t>CSIH1CSL2</t>
  </si>
  <si>
    <t>CSIH1CSL3</t>
  </si>
  <si>
    <t>CSIH1CSL4</t>
  </si>
  <si>
    <t>CSIH1CSL5</t>
  </si>
  <si>
    <t>CSIH1CSL6</t>
  </si>
  <si>
    <t>CSIH1CSL7</t>
  </si>
  <si>
    <t>CSIH1SLIT</t>
  </si>
  <si>
    <t>CSIH1CKR</t>
  </si>
  <si>
    <t>CSIH1PHE</t>
  </si>
  <si>
    <t>CSIH1CTL2</t>
  </si>
  <si>
    <t>CSIH1PRS</t>
  </si>
  <si>
    <t>CSIH1MCTL1</t>
  </si>
  <si>
    <t>CSIH1FFS</t>
  </si>
  <si>
    <t>CSIH1FES</t>
  </si>
  <si>
    <t>CSIH1MCTL2</t>
  </si>
  <si>
    <t>CSIH1SOP</t>
  </si>
  <si>
    <t>CSIH1ND</t>
  </si>
  <si>
    <t>CSIH1BTST</t>
  </si>
  <si>
    <t>CSIH1TX0W</t>
  </si>
  <si>
    <t>CSIH1TX</t>
  </si>
  <si>
    <t>CSIH1CS0</t>
  </si>
  <si>
    <t>CSIH1CS1</t>
  </si>
  <si>
    <t>CSIH1CS2</t>
  </si>
  <si>
    <t>CSIH1CS3</t>
  </si>
  <si>
    <t>CSIH1CS4</t>
  </si>
  <si>
    <t>CSIH1CS5</t>
  </si>
  <si>
    <t>CSIH1CS6</t>
  </si>
  <si>
    <t>CSIH1CS7</t>
  </si>
  <si>
    <t>CSIH1EDL</t>
  </si>
  <si>
    <t>CSIH1EOJ</t>
  </si>
  <si>
    <t>CSIH1CIRE</t>
  </si>
  <si>
    <t>CSIH1TX0H</t>
  </si>
  <si>
    <t>CSIH1RX0W</t>
  </si>
  <si>
    <t>CSIH1RX</t>
  </si>
  <si>
    <t>CSIH1TDCE</t>
  </si>
  <si>
    <t>CSIH1RPE</t>
  </si>
  <si>
    <t>CSIH1RX0H</t>
  </si>
  <si>
    <t>CSIH1MRWP0</t>
  </si>
  <si>
    <t>CSIH1TRWA</t>
  </si>
  <si>
    <t>CSIH1RRA</t>
  </si>
  <si>
    <t>CSIH1MCTL0</t>
  </si>
  <si>
    <t>CSIH1TO</t>
  </si>
  <si>
    <t>CSIH1MMS</t>
  </si>
  <si>
    <t>CSIH1CFG0</t>
  </si>
  <si>
    <t>CSIH1SP0</t>
  </si>
  <si>
    <t>CSIH1IN0</t>
  </si>
  <si>
    <t>CSIH1HD0</t>
  </si>
  <si>
    <t>CSIH1ID0</t>
  </si>
  <si>
    <t>CSIH1IDL0</t>
  </si>
  <si>
    <t>CSIH1DAP0</t>
  </si>
  <si>
    <t>CSIH1CKP0</t>
  </si>
  <si>
    <t>CSIH1DIR0</t>
  </si>
  <si>
    <t>CSIH1RCB0</t>
  </si>
  <si>
    <t>CSIH1DLS0</t>
  </si>
  <si>
    <t>CSIH1PS0</t>
  </si>
  <si>
    <t>CSIH1BRSS0</t>
  </si>
  <si>
    <t>CSIH1CFG1</t>
  </si>
  <si>
    <t>CSIH1SP1</t>
  </si>
  <si>
    <t>CSIH1IN1</t>
  </si>
  <si>
    <t>CSIH1HD1</t>
  </si>
  <si>
    <t>CSIH1ID1</t>
  </si>
  <si>
    <t>CSIH1IDL1</t>
  </si>
  <si>
    <t>CSIH1DAP1</t>
  </si>
  <si>
    <t>CSIH1CKP1</t>
  </si>
  <si>
    <t>CSIH1DIR1</t>
  </si>
  <si>
    <t>CSIH1RCB1</t>
  </si>
  <si>
    <t>CSIH1DLS1</t>
  </si>
  <si>
    <t>CSIH1PS1</t>
  </si>
  <si>
    <t>CSIH1BRSS1</t>
  </si>
  <si>
    <t>CSIH1CFG2</t>
  </si>
  <si>
    <t>CSIH1SP2</t>
  </si>
  <si>
    <t>CSIH1IN2</t>
  </si>
  <si>
    <t>CSIH1HD2</t>
  </si>
  <si>
    <t>CSIH1ID2</t>
  </si>
  <si>
    <t>CSIH1IDL2</t>
  </si>
  <si>
    <t>CSIH1DAP2</t>
  </si>
  <si>
    <t>CSIH1CKP2</t>
  </si>
  <si>
    <t>CSIH1DIR2</t>
  </si>
  <si>
    <t>CSIH1RCB2</t>
  </si>
  <si>
    <t>CSIH1DLS2</t>
  </si>
  <si>
    <t>CSIH1PS2</t>
  </si>
  <si>
    <t>CSIH1BRSS2</t>
  </si>
  <si>
    <t>CSIH1CFG3</t>
  </si>
  <si>
    <t>CSIH1SP3</t>
  </si>
  <si>
    <t>CSIH1IN3</t>
  </si>
  <si>
    <t>CSIH1HD3</t>
  </si>
  <si>
    <t>CSIH1ID3</t>
  </si>
  <si>
    <t>CSIH1IDL3</t>
  </si>
  <si>
    <t>CSIH1DAP3</t>
  </si>
  <si>
    <t>CSIH1CKP3</t>
  </si>
  <si>
    <t>CSIH1DIR3</t>
  </si>
  <si>
    <t>CSIH1RCB3</t>
  </si>
  <si>
    <t>CSIH1DLS3</t>
  </si>
  <si>
    <t>CSIH1PS3</t>
  </si>
  <si>
    <t>CSIH1BRSS3</t>
  </si>
  <si>
    <t>CSIH1CFG4</t>
  </si>
  <si>
    <t>CSIH1SP4</t>
  </si>
  <si>
    <t>CSIH1IN4</t>
  </si>
  <si>
    <t>CSIH1HD4</t>
  </si>
  <si>
    <t>CSIH1ID4</t>
  </si>
  <si>
    <t>CSIH1IDL4</t>
  </si>
  <si>
    <t>CSIH1DAP4</t>
  </si>
  <si>
    <t>CSIH1CKP4</t>
  </si>
  <si>
    <t>CSIH1DIR4</t>
  </si>
  <si>
    <t>CSIH1RCB4</t>
  </si>
  <si>
    <t>CSIH1DLS4</t>
  </si>
  <si>
    <t>CSIH1PS4</t>
  </si>
  <si>
    <t>CSIH1BRSS4</t>
  </si>
  <si>
    <t>CSIH1CFG5</t>
  </si>
  <si>
    <t>CSIH1SP5</t>
  </si>
  <si>
    <t>CSIH1IN5</t>
  </si>
  <si>
    <t>CSIH1HD5</t>
  </si>
  <si>
    <t>CSIH1ID5</t>
  </si>
  <si>
    <t>CSIH1IDL5</t>
  </si>
  <si>
    <t>CSIH1DAP5</t>
  </si>
  <si>
    <t>CSIH1CKP5</t>
  </si>
  <si>
    <t>CSIH1DIR5</t>
  </si>
  <si>
    <t>CSIH1RCB5</t>
  </si>
  <si>
    <t>CSIH1DLS5</t>
  </si>
  <si>
    <t>CSIH1PS5</t>
  </si>
  <si>
    <t>CSIH1BRSS5</t>
  </si>
  <si>
    <t>CSIH1CFG6</t>
  </si>
  <si>
    <t>CSIH1SP6</t>
  </si>
  <si>
    <t>CSIH1IN6</t>
  </si>
  <si>
    <t>CSIH1HD6</t>
  </si>
  <si>
    <t>CSIH1ID6</t>
  </si>
  <si>
    <t>CSIH1IDL6</t>
  </si>
  <si>
    <t>CSIH1DAP6</t>
  </si>
  <si>
    <t>CSIH1CKP6</t>
  </si>
  <si>
    <t>CSIH1DIR6</t>
  </si>
  <si>
    <t>CSIH1RCB6</t>
  </si>
  <si>
    <t>CSIH1DLS6</t>
  </si>
  <si>
    <t>CSIH1PS6</t>
  </si>
  <si>
    <t>CSIH1BRSS6</t>
  </si>
  <si>
    <t>CSIH1CFG7</t>
  </si>
  <si>
    <t>CSIH1SP7</t>
  </si>
  <si>
    <t>CSIH1IN7</t>
  </si>
  <si>
    <t>CSIH1HD7</t>
  </si>
  <si>
    <t>CSIH1ID7</t>
  </si>
  <si>
    <t>CSIH1IDL7</t>
  </si>
  <si>
    <t>CSIH1DAP7</t>
  </si>
  <si>
    <t>CSIH1CKP7</t>
  </si>
  <si>
    <t>CSIH1DIR7</t>
  </si>
  <si>
    <t>CSIH1RCB7</t>
  </si>
  <si>
    <t>CSIH1DLS7</t>
  </si>
  <si>
    <t>CSIH1PS7</t>
  </si>
  <si>
    <t>CSIH1BRSS7</t>
  </si>
  <si>
    <t>CSIH1BRS0</t>
  </si>
  <si>
    <t>CSIH1BRS</t>
  </si>
  <si>
    <t>CSIH1BRS1</t>
  </si>
  <si>
    <t>CSIH1BRS2</t>
  </si>
  <si>
    <t>CSIH1BRS3</t>
  </si>
  <si>
    <t>CTL0</t>
  </si>
  <si>
    <t>UINT8</t>
  </si>
  <si>
    <t>MBS</t>
  </si>
  <si>
    <t>JOBE</t>
  </si>
  <si>
    <t>RXE</t>
  </si>
  <si>
    <t>TXE</t>
  </si>
  <si>
    <t>PWR</t>
  </si>
  <si>
    <t>STR0</t>
  </si>
  <si>
    <t>UINT32</t>
  </si>
  <si>
    <t>OVE</t>
  </si>
  <si>
    <t>PE</t>
  </si>
  <si>
    <t>DCE</t>
  </si>
  <si>
    <t>EMF</t>
  </si>
  <si>
    <t>FLF</t>
  </si>
  <si>
    <t>TSF</t>
  </si>
  <si>
    <t>HPST</t>
  </si>
  <si>
    <t>OFE</t>
  </si>
  <si>
    <t>TMOE</t>
  </si>
  <si>
    <t>SPF</t>
  </si>
  <si>
    <t>SRP</t>
  </si>
  <si>
    <t>STCR0</t>
  </si>
  <si>
    <t>UINT16</t>
  </si>
  <si>
    <t>OVEC</t>
  </si>
  <si>
    <t>PEC</t>
  </si>
  <si>
    <t>DCEC</t>
  </si>
  <si>
    <t>PCT</t>
  </si>
  <si>
    <t>OFEC</t>
  </si>
  <si>
    <t>TMOEC</t>
  </si>
  <si>
    <t>CTL1</t>
  </si>
  <si>
    <t>SSE</t>
  </si>
  <si>
    <t>HSE</t>
  </si>
  <si>
    <t>SIT</t>
  </si>
  <si>
    <t>LBM</t>
  </si>
  <si>
    <t>CSRI</t>
  </si>
  <si>
    <t>DCS</t>
  </si>
  <si>
    <t>JE</t>
  </si>
  <si>
    <t>EDLE</t>
  </si>
  <si>
    <t>CSL0</t>
  </si>
  <si>
    <t>CSL1</t>
  </si>
  <si>
    <t>CSL2</t>
  </si>
  <si>
    <t>CSL3</t>
  </si>
  <si>
    <t>CSL4</t>
  </si>
  <si>
    <t>CSL5</t>
  </si>
  <si>
    <t>CSL6</t>
  </si>
  <si>
    <t>CSL7</t>
  </si>
  <si>
    <t>SLIT</t>
  </si>
  <si>
    <t>CKR</t>
  </si>
  <si>
    <t>PHE</t>
  </si>
  <si>
    <t>CTL2</t>
  </si>
  <si>
    <t>PRS</t>
  </si>
  <si>
    <t>MCTL1</t>
  </si>
  <si>
    <t>FFS</t>
  </si>
  <si>
    <t>FES</t>
  </si>
  <si>
    <t>MCTL2</t>
  </si>
  <si>
    <t>SOP</t>
  </si>
  <si>
    <t>ND</t>
  </si>
  <si>
    <t>BTST</t>
  </si>
  <si>
    <t>TX0W</t>
  </si>
  <si>
    <t>TX</t>
  </si>
  <si>
    <t>CS0</t>
  </si>
  <si>
    <t>CS1</t>
  </si>
  <si>
    <t>CS2</t>
  </si>
  <si>
    <t>CS3</t>
  </si>
  <si>
    <t>CS4</t>
  </si>
  <si>
    <t>CS5</t>
  </si>
  <si>
    <t>CS6</t>
  </si>
  <si>
    <t>CS7</t>
  </si>
  <si>
    <t>EDL</t>
  </si>
  <si>
    <t>EOJ</t>
  </si>
  <si>
    <t>CIRE</t>
  </si>
  <si>
    <t>TX0H</t>
  </si>
  <si>
    <t>RX0W</t>
  </si>
  <si>
    <t>RX</t>
  </si>
  <si>
    <t>TDCE</t>
  </si>
  <si>
    <t>RPE</t>
  </si>
  <si>
    <t>RX0H</t>
  </si>
  <si>
    <t>MRWP0</t>
  </si>
  <si>
    <t>TRWA</t>
  </si>
  <si>
    <t>RRA</t>
  </si>
  <si>
    <t>MCTL0</t>
  </si>
  <si>
    <t>TO</t>
  </si>
  <si>
    <t>MMS</t>
  </si>
  <si>
    <t>CFG0</t>
  </si>
  <si>
    <t>SP0</t>
  </si>
  <si>
    <t>IN0</t>
  </si>
  <si>
    <t>HD0</t>
  </si>
  <si>
    <t>ID0</t>
  </si>
  <si>
    <t>IDL0</t>
  </si>
  <si>
    <t>DAP0</t>
  </si>
  <si>
    <t>CKP0</t>
  </si>
  <si>
    <t>DIR0</t>
  </si>
  <si>
    <t>RCB0</t>
  </si>
  <si>
    <t>DLS0</t>
  </si>
  <si>
    <t>PS0</t>
  </si>
  <si>
    <t>BRSS0</t>
  </si>
  <si>
    <t>CFG1</t>
  </si>
  <si>
    <t>SP1</t>
  </si>
  <si>
    <t>IN1</t>
  </si>
  <si>
    <t>HD1</t>
  </si>
  <si>
    <t>ID1</t>
  </si>
  <si>
    <t>IDL1</t>
  </si>
  <si>
    <t>DAP1</t>
  </si>
  <si>
    <t>CKP1</t>
  </si>
  <si>
    <t>DIR1</t>
  </si>
  <si>
    <t>RCB1</t>
  </si>
  <si>
    <t>DLS1</t>
  </si>
  <si>
    <t>PS1</t>
  </si>
  <si>
    <t>BRSS1</t>
  </si>
  <si>
    <t>CFG2</t>
  </si>
  <si>
    <t>SP2</t>
  </si>
  <si>
    <t>IN2</t>
  </si>
  <si>
    <t>HD2</t>
  </si>
  <si>
    <t>ID2</t>
  </si>
  <si>
    <t>IDL2</t>
  </si>
  <si>
    <t>DAP2</t>
  </si>
  <si>
    <t>CKP2</t>
  </si>
  <si>
    <t>DIR2</t>
  </si>
  <si>
    <t>RCB2</t>
  </si>
  <si>
    <t>DLS2</t>
  </si>
  <si>
    <t>PS2</t>
  </si>
  <si>
    <t>BRSS2</t>
  </si>
  <si>
    <t>CFG3</t>
  </si>
  <si>
    <t>SP3</t>
  </si>
  <si>
    <t>IN3</t>
  </si>
  <si>
    <t>HD3</t>
  </si>
  <si>
    <t>ID3</t>
  </si>
  <si>
    <t>IDL3</t>
  </si>
  <si>
    <t>DAP3</t>
  </si>
  <si>
    <t>CKP3</t>
  </si>
  <si>
    <t>DIR3</t>
  </si>
  <si>
    <t>RCB3</t>
  </si>
  <si>
    <t>DLS3</t>
  </si>
  <si>
    <t>PS3</t>
  </si>
  <si>
    <t>BRSS3</t>
  </si>
  <si>
    <t>CFG4</t>
  </si>
  <si>
    <t>SP4</t>
  </si>
  <si>
    <t>IN4</t>
  </si>
  <si>
    <t>HD4</t>
  </si>
  <si>
    <t>ID4</t>
  </si>
  <si>
    <t>IDL4</t>
  </si>
  <si>
    <t>DAP4</t>
  </si>
  <si>
    <t>CKP4</t>
  </si>
  <si>
    <t>DIR4</t>
  </si>
  <si>
    <t>RCB4</t>
  </si>
  <si>
    <t>DLS4</t>
  </si>
  <si>
    <t>PS4</t>
  </si>
  <si>
    <t>BRSS4</t>
  </si>
  <si>
    <t>CFG5</t>
  </si>
  <si>
    <t>SP5</t>
  </si>
  <si>
    <t>IN5</t>
  </si>
  <si>
    <t>HD5</t>
  </si>
  <si>
    <t>ID5</t>
  </si>
  <si>
    <t>IDL5</t>
  </si>
  <si>
    <t>DAP5</t>
  </si>
  <si>
    <t>CKP5</t>
  </si>
  <si>
    <t>DIR5</t>
  </si>
  <si>
    <t>RCB5</t>
  </si>
  <si>
    <t>DLS5</t>
  </si>
  <si>
    <t>PS5</t>
  </si>
  <si>
    <t>BRSS5</t>
  </si>
  <si>
    <t>CFG6</t>
  </si>
  <si>
    <t>SP6</t>
  </si>
  <si>
    <t>IN6</t>
  </si>
  <si>
    <t>HD6</t>
  </si>
  <si>
    <t>ID6</t>
  </si>
  <si>
    <t>IDL6</t>
  </si>
  <si>
    <t>DAP6</t>
  </si>
  <si>
    <t>CKP6</t>
  </si>
  <si>
    <t>DIR6</t>
  </si>
  <si>
    <t>RCB6</t>
  </si>
  <si>
    <t>DLS6</t>
  </si>
  <si>
    <t>PS6</t>
  </si>
  <si>
    <t>BRSS6</t>
  </si>
  <si>
    <t>CFG7</t>
  </si>
  <si>
    <t>SP7</t>
  </si>
  <si>
    <t>IN7</t>
  </si>
  <si>
    <t>HD7</t>
  </si>
  <si>
    <t>ID7</t>
  </si>
  <si>
    <t>IDL7</t>
  </si>
  <si>
    <t>DAP7</t>
  </si>
  <si>
    <t>CKP7</t>
  </si>
  <si>
    <t>DIR7</t>
  </si>
  <si>
    <t>RCB7</t>
  </si>
  <si>
    <t>DLS7</t>
  </si>
  <si>
    <t>PS7</t>
  </si>
  <si>
    <t>BRSS7</t>
  </si>
  <si>
    <t>BRS0</t>
  </si>
  <si>
    <t>BRS</t>
  </si>
  <si>
    <t>BRS1</t>
  </si>
  <si>
    <t>BRS2</t>
  </si>
  <si>
    <t>BRS3</t>
  </si>
  <si>
    <t>Description</t>
  </si>
  <si>
    <t>Data</t>
  </si>
  <si>
    <t>TxData</t>
  </si>
  <si>
    <t>TxData
(Stored)</t>
  </si>
  <si>
    <t>TxData
(Transmit Dec)</t>
  </si>
  <si>
    <t>TxData
(Transmit Hex)</t>
  </si>
  <si>
    <t>Controls the operation clock.
0: Stops operation clock.
1: Provides operation clock.</t>
  </si>
  <si>
    <t>Permits or prohibits transmission.
0: Prohibits transmission.
1: Permits transmission.</t>
  </si>
  <si>
    <t>Permits or prohibits reception.
0: Prohibits reception.
1: Permits reception</t>
  </si>
  <si>
    <t>Don't use Job Mode</t>
  </si>
  <si>
    <t>Read Only</t>
  </si>
  <si>
    <t>--</t>
  </si>
  <si>
    <t>Can be written at field or register level</t>
  </si>
  <si>
    <t>Clear error flag at init</t>
  </si>
  <si>
    <t>Don't Care
This bit can only be set in transmit-only buffer mode</t>
  </si>
  <si>
    <t>Chip select signal is active low</t>
  </si>
  <si>
    <t>don't care - this chip select is not used</t>
  </si>
  <si>
    <t>only write 16 bits
0: Disables extended data length mode.</t>
  </si>
  <si>
    <t>disable job mode</t>
  </si>
  <si>
    <t>disable data consistency check
*** need to verify if this is needed</t>
  </si>
  <si>
    <t>return chip select to inactive level</t>
  </si>
  <si>
    <t>disable loop back mode</t>
  </si>
  <si>
    <t>disable handshake mode</t>
  </si>
  <si>
    <t>input signal SSI is ignored</t>
  </si>
  <si>
    <t>Written at field level</t>
  </si>
  <si>
    <t>don't care, only used for FIFO mode</t>
  </si>
  <si>
    <t>not written to at init, used to start transmission</t>
  </si>
  <si>
    <t>Config to write word 0</t>
  </si>
  <si>
    <t>TX0W Data</t>
  </si>
  <si>
    <t>not written to at init, register written at word level</t>
  </si>
  <si>
    <t>not used, use TX0W instead</t>
  </si>
  <si>
    <t>TxBuffer00</t>
  </si>
  <si>
    <t>TxBuffer01</t>
  </si>
  <si>
    <t>TxBuffer02</t>
  </si>
  <si>
    <t>TxBuffer03</t>
  </si>
  <si>
    <t>TxBuffer04</t>
  </si>
  <si>
    <t>TxBuffer05</t>
  </si>
  <si>
    <t>TxBuffer06</t>
  </si>
  <si>
    <t>TxBuffer07</t>
  </si>
  <si>
    <t>TxBuffer08</t>
  </si>
  <si>
    <t>TxBuffer09</t>
  </si>
  <si>
    <t>TxBuffer10</t>
  </si>
  <si>
    <t>TxBuffer11</t>
  </si>
  <si>
    <t>TxBuffer12</t>
  </si>
  <si>
    <t>TxBuffer13</t>
  </si>
  <si>
    <t>TxBuffer14</t>
  </si>
  <si>
    <t>TxBuffer15</t>
  </si>
  <si>
    <t>TxBuffer16</t>
  </si>
  <si>
    <t>TxBuffer17</t>
  </si>
  <si>
    <t>TxBuffer18</t>
  </si>
  <si>
    <t>TxBuffer19</t>
  </si>
  <si>
    <t>TxBuffer20</t>
  </si>
  <si>
    <t>TxBuffer21</t>
  </si>
  <si>
    <t>TxBuffer22</t>
  </si>
  <si>
    <t>TxBuffer23</t>
  </si>
  <si>
    <t>TxBuffer24</t>
  </si>
  <si>
    <t>TxBuffer25</t>
  </si>
  <si>
    <t>TxBuffer26</t>
  </si>
  <si>
    <t>TxBuffer27</t>
  </si>
  <si>
    <t>TxBuffer28</t>
  </si>
  <si>
    <t>TxBuffer29</t>
  </si>
  <si>
    <t>TxBuffer30</t>
  </si>
  <si>
    <t>TxBuffer31</t>
  </si>
  <si>
    <t>TxBuffer32</t>
  </si>
  <si>
    <t>TxBuffer33</t>
  </si>
  <si>
    <t>TxBuffer34</t>
  </si>
  <si>
    <t>TxBuffer35</t>
  </si>
  <si>
    <t>TxBuffer36</t>
  </si>
  <si>
    <t>TxBuffer37</t>
  </si>
  <si>
    <t>TxBuffer38</t>
  </si>
  <si>
    <t>TxBuffer39</t>
  </si>
  <si>
    <t>TxBuffer40</t>
  </si>
  <si>
    <t>TxBuffer41</t>
  </si>
  <si>
    <t>TxBuffer42</t>
  </si>
  <si>
    <t>TxBuffer43</t>
  </si>
  <si>
    <t>TxBuffer44</t>
  </si>
  <si>
    <t>TxBuffer45</t>
  </si>
  <si>
    <t>TxBuffer46</t>
  </si>
  <si>
    <t>TxBuffer47</t>
  </si>
  <si>
    <t>TxBuffer48</t>
  </si>
  <si>
    <t>TxBuffer49</t>
  </si>
  <si>
    <t>TxBuffer50</t>
  </si>
  <si>
    <t>TxBuffer51</t>
  </si>
  <si>
    <t>TxBuffer52</t>
  </si>
  <si>
    <t>TxBuffer53</t>
  </si>
  <si>
    <t>Written at register level</t>
  </si>
  <si>
    <t>Config to read word 0</t>
  </si>
  <si>
    <t>Register level access</t>
  </si>
  <si>
    <t>01</t>
  </si>
  <si>
    <t>Dual buffer mode</t>
  </si>
  <si>
    <t>0000</t>
  </si>
  <si>
    <t>0.5 transmission clock setup time</t>
  </si>
  <si>
    <t>0.5 transmission clock hold time</t>
  </si>
  <si>
    <t>000</t>
  </si>
  <si>
    <t>0.5 transmission clock idle time</t>
  </si>
  <si>
    <t>data phase</t>
  </si>
  <si>
    <t>clock phase</t>
  </si>
  <si>
    <t>transmit MSB first</t>
  </si>
  <si>
    <t>0</t>
  </si>
  <si>
    <t>00</t>
  </si>
  <si>
    <t>Transfer clock is set from BRS0</t>
  </si>
  <si>
    <t>not written to at init, chip select not used</t>
  </si>
  <si>
    <t>not written to at init, baud rate setting not used</t>
  </si>
  <si>
    <r>
      <rPr>
        <sz val="11"/>
        <color rgb="FF0070C0"/>
        <rFont val="Calibri"/>
        <family val="2"/>
        <scheme val="minor"/>
      </rPr>
      <t>Use CSIH in dual buffer mode</t>
    </r>
    <r>
      <rPr>
        <sz val="11"/>
        <color theme="1"/>
        <rFont val="Calibri"/>
        <family val="2"/>
        <scheme val="minor"/>
      </rPr>
      <t xml:space="preserve">
0: Memory mode CSIH memory is used for transmission and/or reception data.</t>
    </r>
  </si>
  <si>
    <t>Recessive configuration = dominant</t>
  </si>
  <si>
    <t>not written to at init - parameters derived from CFG0</t>
  </si>
  <si>
    <t>Recessive configuration = recessive</t>
  </si>
  <si>
    <t>Chip Selects</t>
  </si>
  <si>
    <t>Tx  (Configuration)</t>
  </si>
  <si>
    <t>Cmd</t>
  </si>
  <si>
    <t>Command Word</t>
  </si>
  <si>
    <t>MOD_3</t>
  </si>
  <si>
    <t>ACSTAT</t>
  </si>
  <si>
    <t>MOD_1</t>
  </si>
  <si>
    <t>MOD_2</t>
  </si>
  <si>
    <t>Optional</t>
  </si>
  <si>
    <t>MOD_4</t>
  </si>
  <si>
    <t>Tx (Read)</t>
  </si>
  <si>
    <t>To read</t>
  </si>
  <si>
    <t>Delay</t>
  </si>
  <si>
    <t>130ns</t>
  </si>
  <si>
    <t>Write FFFF</t>
  </si>
  <si>
    <t>To gen Clock</t>
  </si>
  <si>
    <t xml:space="preserve"> </t>
  </si>
  <si>
    <t>(IC: Data on data line at rising ege and read on the falling edge)</t>
  </si>
  <si>
    <t>no parity</t>
  </si>
  <si>
    <t>Data length = 16bits, no parity</t>
  </si>
  <si>
    <t>ReadSTAT</t>
  </si>
  <si>
    <t>ReadAVAL</t>
  </si>
  <si>
    <t>ReadAREV</t>
  </si>
  <si>
    <t>CSQDeselect</t>
  </si>
  <si>
    <t>WriteCmd7</t>
  </si>
  <si>
    <t>WriteACTSTAT</t>
  </si>
  <si>
    <t>WriteMOD_1</t>
  </si>
  <si>
    <t>WriteCmd8</t>
  </si>
  <si>
    <t>WriteMOD_4</t>
  </si>
  <si>
    <t>WriteCmd9</t>
  </si>
  <si>
    <t>WriteCmd10</t>
  </si>
  <si>
    <t>WriteCmd12</t>
  </si>
  <si>
    <t>WrtieCmd11</t>
  </si>
  <si>
    <t>WriteMOD_2</t>
  </si>
  <si>
    <t>k = 10
(alpha = 2, Clock = 80 MHz/(2^alpha*k*2) = 1MHz)</t>
  </si>
  <si>
    <t>10</t>
  </si>
  <si>
    <t>Note</t>
  </si>
  <si>
    <t>alpha = 2
(k = 10, Clock = 80 MHz/(2^alpha*k*2) = 1MHz)</t>
  </si>
  <si>
    <t>1: The default level of CSIHTSCK is low</t>
  </si>
  <si>
    <t>0.5 transmission clock inter-data timer</t>
  </si>
  <si>
    <t>No interrupt delay</t>
  </si>
  <si>
    <t>0: If the CSIHnTX0W.CSIHnCSx setting of two consecutive transfers is different, an idle state is inserted between two transfers. If the CSIHnTX0W.CSIHnCSx setting of two consecutive transfers is the same, an idle state is not inserted between two transfers.
1: Regardless of the CSIHnTX0W.CSIHnCSx setting of two consecutive</t>
  </si>
  <si>
    <t>0001</t>
  </si>
  <si>
    <t>Init</t>
  </si>
  <si>
    <t>Phases A follows Phase B to indicate clockwise</t>
  </si>
  <si>
    <t>CCW</t>
  </si>
  <si>
    <t>CW</t>
  </si>
  <si>
    <t>IC</t>
  </si>
  <si>
    <t>Micro</t>
  </si>
  <si>
    <t>Up</t>
  </si>
  <si>
    <t>Down</t>
  </si>
  <si>
    <t>B follows A CCW</t>
  </si>
  <si>
    <t>TxBuffer54</t>
  </si>
  <si>
    <t>TxBuffer55</t>
  </si>
  <si>
    <t>Written At</t>
  </si>
  <si>
    <t>WriteCmd13</t>
  </si>
  <si>
    <t>WriteCmd14</t>
  </si>
  <si>
    <t>ReadIIFCNT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</si>
</sst>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sz val="10"/>
      <name val="Arial"/>
      <family val="2"/>
    </font>
    <font>
      <sz val="11"/>
      <color rgb="FF0070C0"/>
      <name val="Calibri"/>
      <family val="2"/>
      <scheme val="minor"/>
    </font>
    <font>
      <sz val="11"/>
      <name val="Calibri"/>
      <family val="2"/>
      <scheme val="minor"/>
    </font>
    <font>
      <sz val="11"/>
      <color rgb="FFFF0000"/>
      <name val="Calibri"/>
      <family val="2"/>
      <scheme val="minor"/>
    </font>
  </fonts>
  <fills count="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theme="9" tint="0.59999389629810485"/>
        <bgColor indexed="64"/>
      </patternFill>
    </fill>
    <fill>
      <patternFill patternType="solid">
        <fgColor rgb="FFFF0000"/>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31">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applyAlignment="1">
      <alignment wrapText="1"/>
    </xf>
    <xf numFmtId="0" fontId="0" fillId="3" borderId="1" xfId="0" applyFill="1" applyBorder="1" applyAlignment="1">
      <alignment wrapText="1"/>
    </xf>
    <xf numFmtId="0" fontId="0" fillId="2" borderId="1" xfId="0" applyFill="1" applyBorder="1" applyAlignment="1">
      <alignment wrapText="1"/>
    </xf>
    <xf numFmtId="0" fontId="0" fillId="2" borderId="1" xfId="0" applyFill="1" applyBorder="1" applyAlignment="1">
      <alignment horizontal="center"/>
    </xf>
    <xf numFmtId="0" fontId="1" fillId="0" borderId="1" xfId="0" applyFont="1" applyBorder="1" applyAlignment="1"/>
    <xf numFmtId="0" fontId="0" fillId="0" borderId="1" xfId="0" applyBorder="1" applyAlignment="1"/>
    <xf numFmtId="0" fontId="0" fillId="3" borderId="1" xfId="0" applyFill="1" applyBorder="1" applyAlignment="1"/>
    <xf numFmtId="0" fontId="0" fillId="2" borderId="1" xfId="0" applyFill="1" applyBorder="1" applyAlignment="1"/>
    <xf numFmtId="0" fontId="3" fillId="2" borderId="1" xfId="0" applyFont="1" applyFill="1" applyBorder="1" applyAlignment="1"/>
    <xf numFmtId="0" fontId="0" fillId="6" borderId="1" xfId="0" applyFill="1" applyBorder="1" applyAlignment="1"/>
    <xf numFmtId="0" fontId="0" fillId="7" borderId="1" xfId="0" applyFill="1" applyBorder="1" applyAlignment="1"/>
    <xf numFmtId="0" fontId="3" fillId="3" borderId="1" xfId="0" applyFont="1" applyFill="1" applyBorder="1" applyAlignment="1">
      <alignment horizontal="center"/>
    </xf>
    <xf numFmtId="0" fontId="3" fillId="3" borderId="1" xfId="0" applyFont="1" applyFill="1" applyBorder="1" applyAlignment="1">
      <alignment horizontal="center" wrapText="1"/>
    </xf>
    <xf numFmtId="0" fontId="3" fillId="2" borderId="1" xfId="0" applyFont="1" applyFill="1" applyBorder="1" applyAlignment="1">
      <alignment horizontal="center"/>
    </xf>
    <xf numFmtId="0" fontId="3" fillId="4" borderId="1" xfId="0" applyFont="1" applyFill="1" applyBorder="1" applyAlignment="1">
      <alignment horizontal="center"/>
    </xf>
    <xf numFmtId="0" fontId="3" fillId="5" borderId="1" xfId="0" applyFont="1" applyFill="1" applyBorder="1" applyAlignment="1">
      <alignment horizontal="center"/>
    </xf>
    <xf numFmtId="0" fontId="1" fillId="0" borderId="1" xfId="0" applyFont="1" applyBorder="1" applyAlignment="1">
      <alignment horizontal="center"/>
    </xf>
    <xf numFmtId="0" fontId="0" fillId="3" borderId="1" xfId="0" quotePrefix="1" applyFill="1" applyBorder="1" applyAlignment="1">
      <alignment horizontal="center"/>
    </xf>
    <xf numFmtId="0" fontId="0" fillId="0" borderId="1" xfId="0" applyBorder="1" applyAlignment="1">
      <alignment horizontal="center"/>
    </xf>
    <xf numFmtId="0" fontId="0" fillId="0" borderId="1" xfId="0" quotePrefix="1" applyBorder="1" applyAlignment="1">
      <alignment horizontal="center"/>
    </xf>
    <xf numFmtId="0" fontId="0" fillId="2" borderId="1" xfId="0" quotePrefix="1" applyFill="1" applyBorder="1" applyAlignment="1">
      <alignment horizontal="center"/>
    </xf>
    <xf numFmtId="0" fontId="0" fillId="3" borderId="1" xfId="0" applyFill="1" applyBorder="1" applyAlignment="1">
      <alignment horizontal="center"/>
    </xf>
    <xf numFmtId="0" fontId="0" fillId="6" borderId="1" xfId="0" quotePrefix="1" applyFill="1" applyBorder="1" applyAlignment="1">
      <alignment horizontal="center"/>
    </xf>
    <xf numFmtId="0" fontId="0" fillId="7" borderId="1" xfId="0" quotePrefix="1" applyFill="1" applyBorder="1" applyAlignment="1">
      <alignment horizontal="center"/>
    </xf>
    <xf numFmtId="0" fontId="4" fillId="2" borderId="1" xfId="0" applyFont="1" applyFill="1" applyBorder="1" applyAlignment="1">
      <alignment horizontal="center"/>
    </xf>
    <xf numFmtId="0" fontId="3" fillId="8" borderId="1" xfId="0" applyFont="1" applyFill="1" applyBorder="1" applyAlignment="1">
      <alignment horizontal="center"/>
    </xf>
    <xf numFmtId="0" fontId="3" fillId="8" borderId="1" xfId="0" applyFont="1" applyFill="1" applyBorder="1" applyAlignment="1">
      <alignment horizontal="left"/>
    </xf>
    <xf numFmtId="0" fontId="0" fillId="8" borderId="1" xfId="0"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16</xdr:col>
      <xdr:colOff>359709</xdr:colOff>
      <xdr:row>77</xdr:row>
      <xdr:rowOff>4564</xdr:rowOff>
    </xdr:from>
    <xdr:to>
      <xdr:col>22</xdr:col>
      <xdr:colOff>306561</xdr:colOff>
      <xdr:row>82</xdr:row>
      <xdr:rowOff>111180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265709" y="14439021"/>
          <a:ext cx="2417909" cy="10319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a:solidFill>
                <a:schemeClr val="dk1"/>
              </a:solidFill>
              <a:latin typeface="+mn-lt"/>
              <a:ea typeface="+mn-ea"/>
              <a:cs typeface="+mn-cs"/>
            </a:rPr>
            <a:t>Activates one or several chip select signals.</a:t>
          </a:r>
        </a:p>
        <a:p>
          <a:r>
            <a:rPr lang="en-US" sz="1100" b="0" i="0" u="none" strike="noStrike" baseline="0">
              <a:solidFill>
                <a:schemeClr val="dk1"/>
              </a:solidFill>
              <a:latin typeface="+mn-lt"/>
              <a:ea typeface="+mn-ea"/>
              <a:cs typeface="+mn-cs"/>
            </a:rPr>
            <a:t>0: Activates chip select signal x for the associated transmission.</a:t>
          </a:r>
        </a:p>
        <a:p>
          <a:r>
            <a:rPr lang="en-US" sz="1100" b="0" i="0" u="none" strike="noStrike" baseline="0">
              <a:solidFill>
                <a:schemeClr val="dk1"/>
              </a:solidFill>
              <a:latin typeface="+mn-lt"/>
              <a:ea typeface="+mn-ea"/>
              <a:cs typeface="+mn-cs"/>
            </a:rPr>
            <a:t>1: Deactivates chip select signal x for the associated transmission.</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1071995</xdr:colOff>
      <xdr:row>0</xdr:row>
      <xdr:rowOff>0</xdr:rowOff>
    </xdr:from>
    <xdr:to>
      <xdr:col>22</xdr:col>
      <xdr:colOff>533400</xdr:colOff>
      <xdr:row>24</xdr:row>
      <xdr:rowOff>68055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167995" y="0"/>
          <a:ext cx="8148205" cy="4830555"/>
        </a:xfrm>
        <a:prstGeom prst="rect">
          <a:avLst/>
        </a:prstGeom>
      </xdr:spPr>
    </xdr:pic>
    <xdr:clientData/>
  </xdr:twoCellAnchor>
  <xdr:twoCellAnchor editAs="oneCell">
    <xdr:from>
      <xdr:col>10</xdr:col>
      <xdr:colOff>915736</xdr:colOff>
      <xdr:row>25</xdr:row>
      <xdr:rowOff>150892</xdr:rowOff>
    </xdr:from>
    <xdr:to>
      <xdr:col>22</xdr:col>
      <xdr:colOff>523875</xdr:colOff>
      <xdr:row>43</xdr:row>
      <xdr:rowOff>105438</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7011736" y="5103892"/>
          <a:ext cx="8294939" cy="3383546"/>
        </a:xfrm>
        <a:prstGeom prst="rect">
          <a:avLst/>
        </a:prstGeom>
      </xdr:spPr>
    </xdr:pic>
    <xdr:clientData/>
  </xdr:twoCellAnchor>
  <xdr:twoCellAnchor editAs="oneCell">
    <xdr:from>
      <xdr:col>22</xdr:col>
      <xdr:colOff>333375</xdr:colOff>
      <xdr:row>0</xdr:row>
      <xdr:rowOff>0</xdr:rowOff>
    </xdr:from>
    <xdr:to>
      <xdr:col>39</xdr:col>
      <xdr:colOff>130263</xdr:colOff>
      <xdr:row>12</xdr:row>
      <xdr:rowOff>65777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5116175" y="0"/>
          <a:ext cx="10160088" cy="25422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46"/>
  <sheetViews>
    <sheetView tabSelected="1" topLeftCell="C1" zoomScale="85" zoomScaleNormal="85" workbookViewId="0">
      <pane ySplit="2" topLeftCell="A68" activePane="bottomLeft" state="frozen"/>
      <selection pane="bottomLeft" activeCell="G74" sqref="G74"/>
    </sheetView>
  </sheetViews>
  <sheetFormatPr defaultColWidth="9.109375" defaultRowHeight="14.4" x14ac:dyDescent="0.3"/>
  <cols>
    <col min="1" max="1" width="5.5546875" style="8" bestFit="1" customWidth="1"/>
    <col min="2" max="2" width="20.88671875" style="8" bestFit="1" customWidth="1"/>
    <col min="3" max="3" width="16.33203125" style="8" bestFit="1" customWidth="1"/>
    <col min="4" max="4" width="20.33203125" style="8" customWidth="1"/>
    <col min="5" max="5" width="19.6640625" style="8" customWidth="1"/>
    <col min="6" max="6" width="14.33203125" style="21" bestFit="1" customWidth="1"/>
    <col min="7" max="7" width="51" style="8" customWidth="1"/>
    <col min="8" max="8" width="37" style="8" customWidth="1"/>
    <col min="9" max="12" width="9.109375" style="8"/>
    <col min="13" max="13" width="13.5546875" style="8" bestFit="1" customWidth="1"/>
    <col min="14" max="16384" width="9.109375" style="8"/>
  </cols>
  <sheetData>
    <row r="1" spans="1:10" x14ac:dyDescent="0.3">
      <c r="A1" s="7" t="s">
        <v>0</v>
      </c>
      <c r="B1" s="7" t="s">
        <v>1</v>
      </c>
      <c r="C1" s="7" t="s">
        <v>2</v>
      </c>
      <c r="D1" s="7" t="s">
        <v>3</v>
      </c>
      <c r="E1" s="7" t="s">
        <v>4</v>
      </c>
      <c r="F1" s="19" t="s">
        <v>5</v>
      </c>
      <c r="G1" s="7" t="s">
        <v>6</v>
      </c>
      <c r="H1" s="7"/>
      <c r="J1" s="7"/>
    </row>
    <row r="3" spans="1:10" s="9" customFormat="1" x14ac:dyDescent="0.3">
      <c r="A3" s="9">
        <v>0</v>
      </c>
      <c r="C3" s="9" t="s">
        <v>195</v>
      </c>
      <c r="D3" s="9" t="s">
        <v>196</v>
      </c>
      <c r="E3" s="9" t="s">
        <v>7</v>
      </c>
      <c r="F3" s="20" t="s">
        <v>397</v>
      </c>
      <c r="G3" s="9" t="s">
        <v>473</v>
      </c>
      <c r="H3" s="9" t="s">
        <v>398</v>
      </c>
    </row>
    <row r="4" spans="1:10" ht="43.2" x14ac:dyDescent="0.3">
      <c r="A4" s="8">
        <v>1</v>
      </c>
      <c r="C4" s="8" t="s">
        <v>195</v>
      </c>
      <c r="D4" s="8" t="s">
        <v>197</v>
      </c>
      <c r="E4" s="8" t="s">
        <v>8</v>
      </c>
      <c r="F4" s="21">
        <v>0</v>
      </c>
      <c r="G4" s="3" t="s">
        <v>489</v>
      </c>
      <c r="H4" s="8" t="s">
        <v>398</v>
      </c>
    </row>
    <row r="5" spans="1:10" x14ac:dyDescent="0.3">
      <c r="A5" s="8">
        <v>2</v>
      </c>
      <c r="C5" s="8" t="s">
        <v>195</v>
      </c>
      <c r="D5" s="8" t="s">
        <v>198</v>
      </c>
      <c r="E5" s="8" t="s">
        <v>9</v>
      </c>
      <c r="F5" s="21">
        <v>0</v>
      </c>
      <c r="G5" s="8" t="s">
        <v>395</v>
      </c>
      <c r="H5" s="8" t="s">
        <v>398</v>
      </c>
    </row>
    <row r="6" spans="1:10" ht="43.2" x14ac:dyDescent="0.3">
      <c r="A6" s="8">
        <v>3</v>
      </c>
      <c r="C6" s="8" t="s">
        <v>195</v>
      </c>
      <c r="D6" s="8" t="s">
        <v>199</v>
      </c>
      <c r="E6" s="8" t="s">
        <v>10</v>
      </c>
      <c r="F6" s="21">
        <v>1</v>
      </c>
      <c r="G6" s="3" t="s">
        <v>394</v>
      </c>
      <c r="H6" s="8" t="s">
        <v>398</v>
      </c>
    </row>
    <row r="7" spans="1:10" ht="43.2" x14ac:dyDescent="0.3">
      <c r="A7" s="8">
        <v>4</v>
      </c>
      <c r="C7" s="8" t="s">
        <v>195</v>
      </c>
      <c r="D7" s="8" t="s">
        <v>200</v>
      </c>
      <c r="E7" s="8" t="s">
        <v>11</v>
      </c>
      <c r="F7" s="21">
        <v>1</v>
      </c>
      <c r="G7" s="3" t="s">
        <v>393</v>
      </c>
      <c r="H7" s="8" t="s">
        <v>398</v>
      </c>
    </row>
    <row r="8" spans="1:10" ht="43.2" x14ac:dyDescent="0.3">
      <c r="A8" s="8">
        <v>5</v>
      </c>
      <c r="C8" s="8" t="s">
        <v>195</v>
      </c>
      <c r="D8" s="8" t="s">
        <v>201</v>
      </c>
      <c r="E8" s="8" t="s">
        <v>12</v>
      </c>
      <c r="F8" s="21">
        <v>0</v>
      </c>
      <c r="G8" s="3" t="s">
        <v>392</v>
      </c>
      <c r="H8" s="8" t="s">
        <v>398</v>
      </c>
    </row>
    <row r="9" spans="1:10" s="9" customFormat="1" x14ac:dyDescent="0.3">
      <c r="A9" s="9">
        <v>6</v>
      </c>
      <c r="C9" s="9" t="s">
        <v>215</v>
      </c>
      <c r="D9" s="9" t="s">
        <v>216</v>
      </c>
      <c r="E9" s="9" t="s">
        <v>25</v>
      </c>
      <c r="F9" s="20" t="s">
        <v>397</v>
      </c>
      <c r="G9" s="9" t="s">
        <v>473</v>
      </c>
      <c r="H9" s="9" t="s">
        <v>398</v>
      </c>
    </row>
    <row r="10" spans="1:10" x14ac:dyDescent="0.3">
      <c r="A10" s="8">
        <v>7</v>
      </c>
      <c r="C10" s="8" t="s">
        <v>215</v>
      </c>
      <c r="D10" s="8" t="s">
        <v>217</v>
      </c>
      <c r="E10" s="8" t="s">
        <v>26</v>
      </c>
      <c r="F10" s="21">
        <v>1</v>
      </c>
      <c r="G10" s="3" t="s">
        <v>399</v>
      </c>
      <c r="H10" s="8" t="s">
        <v>398</v>
      </c>
    </row>
    <row r="11" spans="1:10" x14ac:dyDescent="0.3">
      <c r="A11" s="8">
        <v>8</v>
      </c>
      <c r="C11" s="8" t="s">
        <v>215</v>
      </c>
      <c r="D11" s="8" t="s">
        <v>218</v>
      </c>
      <c r="E11" s="8" t="s">
        <v>27</v>
      </c>
      <c r="F11" s="21">
        <v>1</v>
      </c>
      <c r="G11" s="3" t="s">
        <v>399</v>
      </c>
      <c r="H11" s="8" t="s">
        <v>398</v>
      </c>
    </row>
    <row r="12" spans="1:10" x14ac:dyDescent="0.3">
      <c r="A12" s="8">
        <v>9</v>
      </c>
      <c r="C12" s="8" t="s">
        <v>215</v>
      </c>
      <c r="D12" s="8" t="s">
        <v>219</v>
      </c>
      <c r="E12" s="8" t="s">
        <v>28</v>
      </c>
      <c r="F12" s="21">
        <v>1</v>
      </c>
      <c r="G12" s="3" t="s">
        <v>399</v>
      </c>
      <c r="H12" s="8" t="s">
        <v>398</v>
      </c>
    </row>
    <row r="13" spans="1:10" x14ac:dyDescent="0.3">
      <c r="A13" s="8">
        <v>10</v>
      </c>
      <c r="C13" s="8" t="s">
        <v>215</v>
      </c>
      <c r="D13" s="8" t="s">
        <v>220</v>
      </c>
      <c r="E13" s="8" t="s">
        <v>29</v>
      </c>
      <c r="F13" s="21">
        <v>1</v>
      </c>
      <c r="G13" s="3" t="s">
        <v>399</v>
      </c>
      <c r="H13" s="8" t="s">
        <v>398</v>
      </c>
    </row>
    <row r="14" spans="1:10" x14ac:dyDescent="0.3">
      <c r="A14" s="8">
        <v>11</v>
      </c>
      <c r="C14" s="8" t="s">
        <v>215</v>
      </c>
      <c r="D14" s="8" t="s">
        <v>221</v>
      </c>
      <c r="E14" s="8" t="s">
        <v>30</v>
      </c>
      <c r="F14" s="21">
        <v>1</v>
      </c>
      <c r="G14" s="3" t="s">
        <v>399</v>
      </c>
      <c r="H14" s="8" t="s">
        <v>398</v>
      </c>
    </row>
    <row r="15" spans="1:10" x14ac:dyDescent="0.3">
      <c r="A15" s="8">
        <v>12</v>
      </c>
      <c r="C15" s="8" t="s">
        <v>215</v>
      </c>
      <c r="D15" s="8" t="s">
        <v>222</v>
      </c>
      <c r="E15" s="8" t="s">
        <v>31</v>
      </c>
      <c r="F15" s="21">
        <v>1</v>
      </c>
      <c r="G15" s="3" t="s">
        <v>399</v>
      </c>
      <c r="H15" s="8" t="s">
        <v>398</v>
      </c>
    </row>
    <row r="16" spans="1:10" s="9" customFormat="1" x14ac:dyDescent="0.3">
      <c r="A16" s="9">
        <v>13</v>
      </c>
      <c r="C16" s="9" t="s">
        <v>223</v>
      </c>
      <c r="D16" s="9" t="s">
        <v>203</v>
      </c>
      <c r="E16" s="9" t="s">
        <v>32</v>
      </c>
      <c r="F16" s="20" t="s">
        <v>397</v>
      </c>
      <c r="G16" s="9" t="s">
        <v>473</v>
      </c>
      <c r="H16" s="9" t="s">
        <v>398</v>
      </c>
    </row>
    <row r="17" spans="1:8" x14ac:dyDescent="0.3">
      <c r="A17" s="8">
        <v>14</v>
      </c>
      <c r="C17" s="8" t="s">
        <v>223</v>
      </c>
      <c r="D17" s="8" t="s">
        <v>224</v>
      </c>
      <c r="E17" s="8" t="s">
        <v>33</v>
      </c>
      <c r="F17" s="21">
        <v>0</v>
      </c>
      <c r="G17" s="8" t="s">
        <v>409</v>
      </c>
      <c r="H17" s="8" t="s">
        <v>398</v>
      </c>
    </row>
    <row r="18" spans="1:8" x14ac:dyDescent="0.3">
      <c r="A18" s="8">
        <v>15</v>
      </c>
      <c r="C18" s="8" t="s">
        <v>223</v>
      </c>
      <c r="D18" s="8" t="s">
        <v>225</v>
      </c>
      <c r="E18" s="8" t="s">
        <v>34</v>
      </c>
      <c r="F18" s="21">
        <v>0</v>
      </c>
      <c r="G18" s="8" t="s">
        <v>408</v>
      </c>
      <c r="H18" s="8" t="s">
        <v>398</v>
      </c>
    </row>
    <row r="19" spans="1:8" x14ac:dyDescent="0.3">
      <c r="A19" s="8">
        <v>16</v>
      </c>
      <c r="C19" s="8" t="s">
        <v>223</v>
      </c>
      <c r="D19" s="8" t="s">
        <v>226</v>
      </c>
      <c r="E19" s="8" t="s">
        <v>35</v>
      </c>
      <c r="F19" s="6">
        <v>0</v>
      </c>
      <c r="G19" s="10" t="s">
        <v>533</v>
      </c>
      <c r="H19" s="8" t="s">
        <v>398</v>
      </c>
    </row>
    <row r="20" spans="1:8" x14ac:dyDescent="0.3">
      <c r="A20" s="8">
        <v>17</v>
      </c>
      <c r="C20" s="8" t="s">
        <v>223</v>
      </c>
      <c r="D20" s="8" t="s">
        <v>227</v>
      </c>
      <c r="E20" s="8" t="s">
        <v>36</v>
      </c>
      <c r="F20" s="6">
        <v>0</v>
      </c>
      <c r="G20" s="10" t="s">
        <v>407</v>
      </c>
      <c r="H20" s="8" t="s">
        <v>398</v>
      </c>
    </row>
    <row r="21" spans="1:8" x14ac:dyDescent="0.3">
      <c r="A21" s="8">
        <v>18</v>
      </c>
      <c r="C21" s="8" t="s">
        <v>223</v>
      </c>
      <c r="D21" s="8" t="s">
        <v>228</v>
      </c>
      <c r="E21" s="8" t="s">
        <v>37</v>
      </c>
      <c r="F21" s="6">
        <v>1</v>
      </c>
      <c r="G21" s="10" t="s">
        <v>406</v>
      </c>
      <c r="H21" s="8" t="s">
        <v>398</v>
      </c>
    </row>
    <row r="22" spans="1:8" ht="28.8" x14ac:dyDescent="0.3">
      <c r="A22" s="8">
        <v>19</v>
      </c>
      <c r="C22" s="8" t="s">
        <v>223</v>
      </c>
      <c r="D22" s="8" t="s">
        <v>229</v>
      </c>
      <c r="E22" s="8" t="s">
        <v>38</v>
      </c>
      <c r="F22" s="6">
        <v>0</v>
      </c>
      <c r="G22" s="5" t="s">
        <v>405</v>
      </c>
      <c r="H22" s="8" t="s">
        <v>398</v>
      </c>
    </row>
    <row r="23" spans="1:8" x14ac:dyDescent="0.3">
      <c r="A23" s="8">
        <v>20</v>
      </c>
      <c r="C23" s="8" t="s">
        <v>223</v>
      </c>
      <c r="D23" s="8" t="s">
        <v>230</v>
      </c>
      <c r="E23" s="8" t="s">
        <v>39</v>
      </c>
      <c r="F23" s="6">
        <v>0</v>
      </c>
      <c r="G23" s="10" t="s">
        <v>404</v>
      </c>
      <c r="H23" s="8" t="s">
        <v>398</v>
      </c>
    </row>
    <row r="24" spans="1:8" ht="28.8" x14ac:dyDescent="0.3">
      <c r="A24" s="8">
        <v>21</v>
      </c>
      <c r="C24" s="8" t="s">
        <v>223</v>
      </c>
      <c r="D24" s="8" t="s">
        <v>231</v>
      </c>
      <c r="E24" s="8" t="s">
        <v>40</v>
      </c>
      <c r="F24" s="6">
        <v>0</v>
      </c>
      <c r="G24" s="5" t="s">
        <v>403</v>
      </c>
      <c r="H24" s="8" t="s">
        <v>398</v>
      </c>
    </row>
    <row r="25" spans="1:8" x14ac:dyDescent="0.3">
      <c r="A25" s="8">
        <v>22</v>
      </c>
      <c r="C25" s="8" t="s">
        <v>223</v>
      </c>
      <c r="D25" s="8" t="s">
        <v>232</v>
      </c>
      <c r="E25" s="10" t="s">
        <v>41</v>
      </c>
      <c r="F25" s="6">
        <v>0</v>
      </c>
      <c r="G25" s="10" t="s">
        <v>401</v>
      </c>
      <c r="H25" s="8" t="s">
        <v>398</v>
      </c>
    </row>
    <row r="26" spans="1:8" x14ac:dyDescent="0.3">
      <c r="A26" s="8">
        <v>23</v>
      </c>
      <c r="C26" s="8" t="s">
        <v>223</v>
      </c>
      <c r="D26" s="8" t="s">
        <v>233</v>
      </c>
      <c r="E26" s="10" t="s">
        <v>42</v>
      </c>
      <c r="F26" s="6">
        <v>0</v>
      </c>
      <c r="G26" s="10" t="s">
        <v>401</v>
      </c>
      <c r="H26" s="8" t="s">
        <v>398</v>
      </c>
    </row>
    <row r="27" spans="1:8" x14ac:dyDescent="0.3">
      <c r="A27" s="8">
        <v>24</v>
      </c>
      <c r="C27" s="8" t="s">
        <v>223</v>
      </c>
      <c r="D27" s="8" t="s">
        <v>234</v>
      </c>
      <c r="E27" s="8" t="s">
        <v>43</v>
      </c>
      <c r="F27" s="21">
        <v>0</v>
      </c>
      <c r="G27" s="8" t="s">
        <v>402</v>
      </c>
      <c r="H27" s="8" t="s">
        <v>398</v>
      </c>
    </row>
    <row r="28" spans="1:8" x14ac:dyDescent="0.3">
      <c r="A28" s="8">
        <v>25</v>
      </c>
      <c r="C28" s="8" t="s">
        <v>223</v>
      </c>
      <c r="D28" s="8" t="s">
        <v>235</v>
      </c>
      <c r="E28" s="8" t="s">
        <v>44</v>
      </c>
      <c r="F28" s="21">
        <v>0</v>
      </c>
      <c r="G28" s="8" t="s">
        <v>402</v>
      </c>
      <c r="H28" s="8" t="s">
        <v>398</v>
      </c>
    </row>
    <row r="29" spans="1:8" x14ac:dyDescent="0.3">
      <c r="A29" s="8">
        <v>26</v>
      </c>
      <c r="C29" s="8" t="s">
        <v>223</v>
      </c>
      <c r="D29" s="8" t="s">
        <v>236</v>
      </c>
      <c r="E29" s="8" t="s">
        <v>45</v>
      </c>
      <c r="F29" s="21">
        <v>0</v>
      </c>
      <c r="G29" s="8" t="s">
        <v>402</v>
      </c>
      <c r="H29" s="8" t="s">
        <v>398</v>
      </c>
    </row>
    <row r="30" spans="1:8" x14ac:dyDescent="0.3">
      <c r="A30" s="8">
        <v>27</v>
      </c>
      <c r="C30" s="8" t="s">
        <v>223</v>
      </c>
      <c r="D30" s="8" t="s">
        <v>237</v>
      </c>
      <c r="E30" s="8" t="s">
        <v>46</v>
      </c>
      <c r="F30" s="21">
        <v>0</v>
      </c>
      <c r="G30" s="8" t="s">
        <v>402</v>
      </c>
      <c r="H30" s="8" t="s">
        <v>398</v>
      </c>
    </row>
    <row r="31" spans="1:8" x14ac:dyDescent="0.3">
      <c r="A31" s="8">
        <v>28</v>
      </c>
      <c r="C31" s="8" t="s">
        <v>223</v>
      </c>
      <c r="D31" s="8" t="s">
        <v>238</v>
      </c>
      <c r="E31" s="8" t="s">
        <v>47</v>
      </c>
      <c r="F31" s="21">
        <v>0</v>
      </c>
      <c r="G31" s="8" t="s">
        <v>402</v>
      </c>
      <c r="H31" s="8" t="s">
        <v>398</v>
      </c>
    </row>
    <row r="32" spans="1:8" x14ac:dyDescent="0.3">
      <c r="A32" s="8">
        <v>29</v>
      </c>
      <c r="C32" s="8" t="s">
        <v>223</v>
      </c>
      <c r="D32" s="8" t="s">
        <v>239</v>
      </c>
      <c r="E32" s="8" t="s">
        <v>48</v>
      </c>
      <c r="F32" s="21">
        <v>0</v>
      </c>
      <c r="G32" s="8" t="s">
        <v>402</v>
      </c>
      <c r="H32" s="8" t="s">
        <v>398</v>
      </c>
    </row>
    <row r="33" spans="1:8" ht="28.8" x14ac:dyDescent="0.3">
      <c r="A33" s="8">
        <v>30</v>
      </c>
      <c r="C33" s="8" t="s">
        <v>223</v>
      </c>
      <c r="D33" s="8" t="s">
        <v>240</v>
      </c>
      <c r="E33" s="8" t="s">
        <v>49</v>
      </c>
      <c r="F33" s="21">
        <v>0</v>
      </c>
      <c r="G33" s="3" t="s">
        <v>400</v>
      </c>
      <c r="H33" s="8" t="s">
        <v>398</v>
      </c>
    </row>
    <row r="34" spans="1:8" x14ac:dyDescent="0.3">
      <c r="A34" s="8">
        <v>31</v>
      </c>
      <c r="C34" s="8" t="s">
        <v>223</v>
      </c>
      <c r="D34" s="8" t="s">
        <v>241</v>
      </c>
      <c r="E34" s="8" t="s">
        <v>50</v>
      </c>
      <c r="F34" s="6">
        <v>1</v>
      </c>
      <c r="G34" s="10" t="s">
        <v>531</v>
      </c>
      <c r="H34" s="8" t="s">
        <v>398</v>
      </c>
    </row>
    <row r="35" spans="1:8" ht="28.8" x14ac:dyDescent="0.3">
      <c r="A35" s="8">
        <v>32</v>
      </c>
      <c r="C35" s="8" t="s">
        <v>223</v>
      </c>
      <c r="D35" s="8" t="s">
        <v>242</v>
      </c>
      <c r="E35" s="8" t="s">
        <v>51</v>
      </c>
      <c r="F35" s="21">
        <v>0</v>
      </c>
      <c r="G35" s="3" t="s">
        <v>400</v>
      </c>
      <c r="H35" s="8" t="s">
        <v>398</v>
      </c>
    </row>
    <row r="36" spans="1:8" s="9" customFormat="1" x14ac:dyDescent="0.3">
      <c r="A36" s="9">
        <v>33</v>
      </c>
      <c r="C36" s="9" t="s">
        <v>243</v>
      </c>
      <c r="D36" s="9" t="s">
        <v>216</v>
      </c>
      <c r="E36" s="9" t="s">
        <v>52</v>
      </c>
      <c r="F36" s="20" t="s">
        <v>397</v>
      </c>
      <c r="G36" s="9" t="s">
        <v>473</v>
      </c>
      <c r="H36" s="9" t="s">
        <v>398</v>
      </c>
    </row>
    <row r="37" spans="1:8" ht="28.8" x14ac:dyDescent="0.3">
      <c r="A37" s="8" t="s">
        <v>509</v>
      </c>
      <c r="C37" s="8" t="s">
        <v>243</v>
      </c>
      <c r="D37" s="8" t="s">
        <v>244</v>
      </c>
      <c r="E37" s="8" t="s">
        <v>53</v>
      </c>
      <c r="F37" s="6">
        <v>3</v>
      </c>
      <c r="G37" s="5" t="s">
        <v>530</v>
      </c>
      <c r="H37" s="8" t="s">
        <v>398</v>
      </c>
    </row>
    <row r="38" spans="1:8" s="9" customFormat="1" x14ac:dyDescent="0.3">
      <c r="A38" s="9">
        <v>35</v>
      </c>
      <c r="C38" s="9" t="s">
        <v>274</v>
      </c>
      <c r="D38" s="9" t="s">
        <v>216</v>
      </c>
      <c r="E38" s="9" t="s">
        <v>83</v>
      </c>
      <c r="F38" s="20" t="s">
        <v>397</v>
      </c>
      <c r="G38" s="9" t="s">
        <v>473</v>
      </c>
      <c r="H38" s="9" t="s">
        <v>398</v>
      </c>
    </row>
    <row r="39" spans="1:8" x14ac:dyDescent="0.3">
      <c r="A39" s="8">
        <v>36</v>
      </c>
      <c r="C39" s="8" t="s">
        <v>274</v>
      </c>
      <c r="D39" s="8" t="s">
        <v>275</v>
      </c>
      <c r="E39" s="8" t="s">
        <v>84</v>
      </c>
      <c r="F39" s="22" t="s">
        <v>476</v>
      </c>
      <c r="G39" s="8" t="s">
        <v>411</v>
      </c>
      <c r="H39" s="8" t="s">
        <v>398</v>
      </c>
    </row>
    <row r="40" spans="1:8" x14ac:dyDescent="0.3">
      <c r="A40" s="8">
        <v>37</v>
      </c>
      <c r="C40" s="8" t="s">
        <v>274</v>
      </c>
      <c r="D40" s="8" t="s">
        <v>276</v>
      </c>
      <c r="E40" s="8" t="s">
        <v>85</v>
      </c>
      <c r="F40" s="22" t="s">
        <v>474</v>
      </c>
      <c r="G40" s="8" t="s">
        <v>475</v>
      </c>
      <c r="H40" s="8" t="s">
        <v>398</v>
      </c>
    </row>
    <row r="41" spans="1:8" x14ac:dyDescent="0.3">
      <c r="A41" s="8">
        <v>38</v>
      </c>
      <c r="C41" s="8" t="s">
        <v>245</v>
      </c>
      <c r="D41" s="8" t="s">
        <v>203</v>
      </c>
      <c r="E41" s="8" t="s">
        <v>54</v>
      </c>
      <c r="F41" s="22">
        <v>0</v>
      </c>
      <c r="G41" s="8" t="s">
        <v>411</v>
      </c>
      <c r="H41" s="8" t="s">
        <v>398</v>
      </c>
    </row>
    <row r="42" spans="1:8" x14ac:dyDescent="0.3">
      <c r="A42" s="8">
        <v>39</v>
      </c>
      <c r="C42" s="8" t="s">
        <v>245</v>
      </c>
      <c r="D42" s="8" t="s">
        <v>246</v>
      </c>
      <c r="E42" s="8" t="s">
        <v>55</v>
      </c>
      <c r="F42" s="22" t="s">
        <v>397</v>
      </c>
      <c r="G42" s="8" t="s">
        <v>411</v>
      </c>
      <c r="H42" s="8" t="s">
        <v>398</v>
      </c>
    </row>
    <row r="43" spans="1:8" x14ac:dyDescent="0.3">
      <c r="A43" s="8">
        <v>40</v>
      </c>
      <c r="C43" s="8" t="s">
        <v>245</v>
      </c>
      <c r="D43" s="8" t="s">
        <v>247</v>
      </c>
      <c r="E43" s="8" t="s">
        <v>56</v>
      </c>
      <c r="F43" s="22" t="s">
        <v>397</v>
      </c>
      <c r="G43" s="8" t="s">
        <v>411</v>
      </c>
      <c r="H43" s="8" t="s">
        <v>398</v>
      </c>
    </row>
    <row r="44" spans="1:8" s="9" customFormat="1" x14ac:dyDescent="0.3">
      <c r="A44" s="9">
        <v>41</v>
      </c>
      <c r="C44" s="9" t="s">
        <v>277</v>
      </c>
      <c r="D44" s="9" t="s">
        <v>203</v>
      </c>
      <c r="E44" s="9" t="s">
        <v>86</v>
      </c>
      <c r="F44" s="20" t="s">
        <v>397</v>
      </c>
      <c r="G44" s="9" t="s">
        <v>473</v>
      </c>
      <c r="H44" s="9" t="s">
        <v>398</v>
      </c>
    </row>
    <row r="45" spans="1:8" x14ac:dyDescent="0.3">
      <c r="A45" s="8">
        <v>42</v>
      </c>
      <c r="C45" s="8" t="s">
        <v>277</v>
      </c>
      <c r="D45" s="8" t="s">
        <v>278</v>
      </c>
      <c r="E45" s="8" t="s">
        <v>87</v>
      </c>
      <c r="F45" s="23" t="s">
        <v>476</v>
      </c>
      <c r="G45" s="10" t="s">
        <v>477</v>
      </c>
      <c r="H45" s="8" t="s">
        <v>398</v>
      </c>
    </row>
    <row r="46" spans="1:8" x14ac:dyDescent="0.3">
      <c r="A46" s="8">
        <v>43</v>
      </c>
      <c r="C46" s="8" t="s">
        <v>277</v>
      </c>
      <c r="D46" s="8" t="s">
        <v>279</v>
      </c>
      <c r="E46" s="8" t="s">
        <v>88</v>
      </c>
      <c r="F46" s="23" t="s">
        <v>535</v>
      </c>
      <c r="G46" s="10" t="s">
        <v>532</v>
      </c>
      <c r="H46" s="8" t="s">
        <v>398</v>
      </c>
    </row>
    <row r="47" spans="1:8" x14ac:dyDescent="0.3">
      <c r="A47" s="8">
        <v>44</v>
      </c>
      <c r="C47" s="8" t="s">
        <v>277</v>
      </c>
      <c r="D47" s="8" t="s">
        <v>280</v>
      </c>
      <c r="E47" s="8" t="s">
        <v>89</v>
      </c>
      <c r="F47" s="23" t="s">
        <v>476</v>
      </c>
      <c r="G47" s="10" t="s">
        <v>478</v>
      </c>
      <c r="H47" s="8" t="s">
        <v>398</v>
      </c>
    </row>
    <row r="48" spans="1:8" x14ac:dyDescent="0.3">
      <c r="A48" s="8">
        <v>45</v>
      </c>
      <c r="C48" s="8" t="s">
        <v>277</v>
      </c>
      <c r="D48" s="8" t="s">
        <v>281</v>
      </c>
      <c r="E48" s="8" t="s">
        <v>90</v>
      </c>
      <c r="F48" s="23" t="s">
        <v>479</v>
      </c>
      <c r="G48" s="10" t="s">
        <v>480</v>
      </c>
      <c r="H48" s="8" t="s">
        <v>398</v>
      </c>
    </row>
    <row r="49" spans="1:12" ht="104.25" customHeight="1" x14ac:dyDescent="0.3">
      <c r="A49" s="8">
        <v>46</v>
      </c>
      <c r="C49" s="8" t="s">
        <v>277</v>
      </c>
      <c r="D49" s="8" t="s">
        <v>282</v>
      </c>
      <c r="E49" s="8" t="s">
        <v>91</v>
      </c>
      <c r="F49" s="6">
        <v>0</v>
      </c>
      <c r="G49" s="5" t="s">
        <v>534</v>
      </c>
      <c r="H49" s="8" t="s">
        <v>398</v>
      </c>
    </row>
    <row r="50" spans="1:12" x14ac:dyDescent="0.3">
      <c r="A50" s="8">
        <v>47</v>
      </c>
      <c r="C50" s="8" t="s">
        <v>277</v>
      </c>
      <c r="D50" s="8" t="s">
        <v>283</v>
      </c>
      <c r="E50" s="8" t="s">
        <v>92</v>
      </c>
      <c r="F50" s="6">
        <v>0</v>
      </c>
      <c r="G50" s="10" t="s">
        <v>481</v>
      </c>
      <c r="H50" s="8" t="s">
        <v>398</v>
      </c>
      <c r="L50" s="8" t="s">
        <v>510</v>
      </c>
    </row>
    <row r="51" spans="1:12" x14ac:dyDescent="0.3">
      <c r="A51" s="8">
        <v>48</v>
      </c>
      <c r="C51" s="8" t="s">
        <v>277</v>
      </c>
      <c r="D51" s="8" t="s">
        <v>284</v>
      </c>
      <c r="E51" s="8" t="s">
        <v>93</v>
      </c>
      <c r="F51" s="6">
        <v>0</v>
      </c>
      <c r="G51" s="10" t="s">
        <v>482</v>
      </c>
      <c r="H51" s="8" t="s">
        <v>398</v>
      </c>
    </row>
    <row r="52" spans="1:12" x14ac:dyDescent="0.3">
      <c r="A52" s="8">
        <v>49</v>
      </c>
      <c r="C52" s="8" t="s">
        <v>277</v>
      </c>
      <c r="D52" s="8" t="s">
        <v>285</v>
      </c>
      <c r="E52" s="8" t="s">
        <v>94</v>
      </c>
      <c r="F52" s="6">
        <v>0</v>
      </c>
      <c r="G52" s="10" t="s">
        <v>483</v>
      </c>
      <c r="H52" s="8" t="s">
        <v>398</v>
      </c>
    </row>
    <row r="53" spans="1:12" x14ac:dyDescent="0.3">
      <c r="A53" s="8">
        <v>50</v>
      </c>
      <c r="C53" s="8" t="s">
        <v>277</v>
      </c>
      <c r="D53" s="8" t="s">
        <v>286</v>
      </c>
      <c r="E53" s="8" t="s">
        <v>95</v>
      </c>
      <c r="F53" s="23" t="s">
        <v>484</v>
      </c>
      <c r="G53" s="10" t="s">
        <v>490</v>
      </c>
      <c r="H53" s="8" t="s">
        <v>398</v>
      </c>
    </row>
    <row r="54" spans="1:12" x14ac:dyDescent="0.3">
      <c r="A54" s="8">
        <v>51</v>
      </c>
      <c r="C54" s="8" t="s">
        <v>277</v>
      </c>
      <c r="D54" s="8" t="s">
        <v>287</v>
      </c>
      <c r="E54" s="8" t="s">
        <v>96</v>
      </c>
      <c r="F54" s="23" t="s">
        <v>476</v>
      </c>
      <c r="G54" s="10" t="s">
        <v>512</v>
      </c>
      <c r="H54" s="8" t="s">
        <v>398</v>
      </c>
    </row>
    <row r="55" spans="1:12" x14ac:dyDescent="0.3">
      <c r="A55" s="8">
        <v>52</v>
      </c>
      <c r="C55" s="8" t="s">
        <v>277</v>
      </c>
      <c r="D55" s="8" t="s">
        <v>288</v>
      </c>
      <c r="E55" s="8" t="s">
        <v>97</v>
      </c>
      <c r="F55" s="23" t="s">
        <v>485</v>
      </c>
      <c r="G55" s="10" t="s">
        <v>511</v>
      </c>
      <c r="H55" s="8" t="s">
        <v>398</v>
      </c>
    </row>
    <row r="56" spans="1:12" x14ac:dyDescent="0.3">
      <c r="A56" s="8">
        <v>53</v>
      </c>
      <c r="C56" s="8" t="s">
        <v>277</v>
      </c>
      <c r="D56" s="8" t="s">
        <v>289</v>
      </c>
      <c r="E56" s="8" t="s">
        <v>98</v>
      </c>
      <c r="F56" s="23" t="s">
        <v>485</v>
      </c>
      <c r="G56" s="10" t="s">
        <v>486</v>
      </c>
      <c r="H56" s="8" t="s">
        <v>398</v>
      </c>
    </row>
    <row r="57" spans="1:12" s="9" customFormat="1" x14ac:dyDescent="0.3">
      <c r="A57" s="9">
        <v>92</v>
      </c>
      <c r="C57" s="9" t="s">
        <v>290</v>
      </c>
      <c r="D57" s="9" t="s">
        <v>203</v>
      </c>
      <c r="E57" s="9" t="s">
        <v>99</v>
      </c>
      <c r="F57" s="20" t="s">
        <v>397</v>
      </c>
      <c r="G57" s="9" t="s">
        <v>491</v>
      </c>
    </row>
    <row r="58" spans="1:12" x14ac:dyDescent="0.3">
      <c r="A58" s="8">
        <v>93</v>
      </c>
      <c r="C58" s="8" t="s">
        <v>290</v>
      </c>
      <c r="D58" s="8" t="s">
        <v>291</v>
      </c>
      <c r="E58" s="8" t="s">
        <v>100</v>
      </c>
      <c r="F58" s="22" t="s">
        <v>397</v>
      </c>
      <c r="G58" s="8" t="s">
        <v>491</v>
      </c>
    </row>
    <row r="59" spans="1:12" x14ac:dyDescent="0.3">
      <c r="A59" s="8">
        <v>94</v>
      </c>
      <c r="C59" s="8" t="s">
        <v>290</v>
      </c>
      <c r="D59" s="8" t="s">
        <v>292</v>
      </c>
      <c r="E59" s="8" t="s">
        <v>101</v>
      </c>
      <c r="F59" s="22" t="s">
        <v>397</v>
      </c>
      <c r="G59" s="8" t="s">
        <v>491</v>
      </c>
    </row>
    <row r="60" spans="1:12" x14ac:dyDescent="0.3">
      <c r="A60" s="8">
        <v>95</v>
      </c>
      <c r="C60" s="8" t="s">
        <v>290</v>
      </c>
      <c r="D60" s="8" t="s">
        <v>293</v>
      </c>
      <c r="E60" s="8" t="s">
        <v>102</v>
      </c>
      <c r="F60" s="22" t="s">
        <v>397</v>
      </c>
      <c r="G60" s="8" t="s">
        <v>491</v>
      </c>
    </row>
    <row r="61" spans="1:12" x14ac:dyDescent="0.3">
      <c r="A61" s="8">
        <v>96</v>
      </c>
      <c r="C61" s="8" t="s">
        <v>290</v>
      </c>
      <c r="D61" s="8" t="s">
        <v>294</v>
      </c>
      <c r="E61" s="8" t="s">
        <v>103</v>
      </c>
      <c r="F61" s="22" t="s">
        <v>397</v>
      </c>
      <c r="G61" s="8" t="s">
        <v>491</v>
      </c>
    </row>
    <row r="62" spans="1:12" x14ac:dyDescent="0.3">
      <c r="A62" s="8">
        <v>97</v>
      </c>
      <c r="C62" s="8" t="s">
        <v>290</v>
      </c>
      <c r="D62" s="8" t="s">
        <v>295</v>
      </c>
      <c r="E62" s="8" t="s">
        <v>104</v>
      </c>
      <c r="F62" s="22" t="s">
        <v>397</v>
      </c>
      <c r="G62" s="8" t="s">
        <v>491</v>
      </c>
    </row>
    <row r="63" spans="1:12" x14ac:dyDescent="0.3">
      <c r="A63" s="8">
        <v>98</v>
      </c>
      <c r="C63" s="8" t="s">
        <v>290</v>
      </c>
      <c r="D63" s="8" t="s">
        <v>296</v>
      </c>
      <c r="E63" s="8" t="s">
        <v>105</v>
      </c>
      <c r="F63" s="22" t="s">
        <v>397</v>
      </c>
      <c r="G63" s="8" t="s">
        <v>491</v>
      </c>
    </row>
    <row r="64" spans="1:12" x14ac:dyDescent="0.3">
      <c r="A64" s="8">
        <v>99</v>
      </c>
      <c r="C64" s="8" t="s">
        <v>290</v>
      </c>
      <c r="D64" s="8" t="s">
        <v>297</v>
      </c>
      <c r="E64" s="8" t="s">
        <v>106</v>
      </c>
      <c r="F64" s="22" t="s">
        <v>397</v>
      </c>
      <c r="G64" s="8" t="s">
        <v>491</v>
      </c>
    </row>
    <row r="65" spans="1:8" x14ac:dyDescent="0.3">
      <c r="A65" s="8">
        <v>100</v>
      </c>
      <c r="C65" s="8" t="s">
        <v>290</v>
      </c>
      <c r="D65" s="8" t="s">
        <v>298</v>
      </c>
      <c r="E65" s="8" t="s">
        <v>107</v>
      </c>
      <c r="F65" s="22" t="s">
        <v>397</v>
      </c>
      <c r="G65" s="8" t="s">
        <v>491</v>
      </c>
    </row>
    <row r="66" spans="1:8" x14ac:dyDescent="0.3">
      <c r="A66" s="8">
        <v>101</v>
      </c>
      <c r="C66" s="8" t="s">
        <v>290</v>
      </c>
      <c r="D66" s="8" t="s">
        <v>299</v>
      </c>
      <c r="E66" s="8" t="s">
        <v>108</v>
      </c>
      <c r="F66" s="22">
        <v>1</v>
      </c>
      <c r="G66" s="8" t="s">
        <v>492</v>
      </c>
      <c r="H66" s="8" t="s">
        <v>410</v>
      </c>
    </row>
    <row r="67" spans="1:8" x14ac:dyDescent="0.3">
      <c r="A67" s="8">
        <v>102</v>
      </c>
      <c r="C67" s="8" t="s">
        <v>290</v>
      </c>
      <c r="D67" s="8" t="s">
        <v>300</v>
      </c>
      <c r="E67" s="8" t="s">
        <v>109</v>
      </c>
      <c r="F67" s="22" t="s">
        <v>397</v>
      </c>
      <c r="G67" s="8" t="s">
        <v>491</v>
      </c>
    </row>
    <row r="68" spans="1:8" x14ac:dyDescent="0.3">
      <c r="A68" s="8">
        <v>103</v>
      </c>
      <c r="C68" s="8" t="s">
        <v>290</v>
      </c>
      <c r="D68" s="8" t="s">
        <v>301</v>
      </c>
      <c r="E68" s="8" t="s">
        <v>110</v>
      </c>
      <c r="F68" s="22" t="s">
        <v>397</v>
      </c>
      <c r="G68" s="8" t="s">
        <v>491</v>
      </c>
    </row>
    <row r="69" spans="1:8" x14ac:dyDescent="0.3">
      <c r="A69" s="8">
        <v>104</v>
      </c>
      <c r="C69" s="8" t="s">
        <v>290</v>
      </c>
      <c r="D69" s="8" t="s">
        <v>302</v>
      </c>
      <c r="E69" s="8" t="s">
        <v>111</v>
      </c>
      <c r="F69" s="22" t="s">
        <v>397</v>
      </c>
      <c r="G69" s="8" t="s">
        <v>491</v>
      </c>
    </row>
    <row r="70" spans="1:8" s="9" customFormat="1" x14ac:dyDescent="0.3">
      <c r="A70" s="9">
        <v>54</v>
      </c>
      <c r="C70" s="9" t="s">
        <v>381</v>
      </c>
      <c r="D70" s="9" t="s">
        <v>216</v>
      </c>
      <c r="E70" s="9" t="s">
        <v>190</v>
      </c>
      <c r="F70" s="20" t="s">
        <v>397</v>
      </c>
      <c r="G70" s="9" t="s">
        <v>473</v>
      </c>
      <c r="H70" s="9" t="s">
        <v>398</v>
      </c>
    </row>
    <row r="71" spans="1:8" ht="28.8" x14ac:dyDescent="0.3">
      <c r="A71" s="8">
        <v>55</v>
      </c>
      <c r="C71" s="8" t="s">
        <v>381</v>
      </c>
      <c r="D71" s="8" t="s">
        <v>382</v>
      </c>
      <c r="E71" s="8" t="s">
        <v>191</v>
      </c>
      <c r="F71" s="22" t="s">
        <v>528</v>
      </c>
      <c r="G71" s="3" t="s">
        <v>527</v>
      </c>
      <c r="H71" s="8" t="s">
        <v>398</v>
      </c>
    </row>
    <row r="72" spans="1:8" s="9" customFormat="1" x14ac:dyDescent="0.3">
      <c r="A72" s="9">
        <v>56</v>
      </c>
      <c r="C72" s="9" t="s">
        <v>271</v>
      </c>
      <c r="D72" s="9" t="s">
        <v>203</v>
      </c>
      <c r="E72" s="9" t="s">
        <v>80</v>
      </c>
      <c r="F72" s="20" t="s">
        <v>397</v>
      </c>
      <c r="G72" s="9" t="s">
        <v>473</v>
      </c>
      <c r="H72" s="9" t="s">
        <v>398</v>
      </c>
    </row>
    <row r="73" spans="1:8" x14ac:dyDescent="0.3">
      <c r="A73" s="8">
        <v>57</v>
      </c>
      <c r="C73" s="8" t="s">
        <v>271</v>
      </c>
      <c r="D73" s="8" t="s">
        <v>272</v>
      </c>
      <c r="E73" s="8" t="s">
        <v>81</v>
      </c>
      <c r="F73" s="21">
        <v>0</v>
      </c>
      <c r="G73" s="8" t="s">
        <v>413</v>
      </c>
      <c r="H73" s="8" t="s">
        <v>398</v>
      </c>
    </row>
    <row r="74" spans="1:8" x14ac:dyDescent="0.3">
      <c r="A74" s="8">
        <v>58</v>
      </c>
      <c r="C74" s="8" t="s">
        <v>271</v>
      </c>
      <c r="D74" s="8" t="s">
        <v>273</v>
      </c>
      <c r="E74" s="8" t="s">
        <v>82</v>
      </c>
      <c r="F74" s="21">
        <v>0</v>
      </c>
      <c r="G74" s="8" t="s">
        <v>472</v>
      </c>
      <c r="H74" s="8" t="s">
        <v>398</v>
      </c>
    </row>
    <row r="75" spans="1:8" x14ac:dyDescent="0.3">
      <c r="A75" s="8">
        <v>59</v>
      </c>
      <c r="B75" s="8" t="s">
        <v>417</v>
      </c>
      <c r="C75" s="8" t="s">
        <v>252</v>
      </c>
      <c r="D75" s="8" t="s">
        <v>203</v>
      </c>
      <c r="E75" s="8" t="s">
        <v>61</v>
      </c>
      <c r="F75" s="28">
        <v>16646160</v>
      </c>
      <c r="G75" s="29" t="s">
        <v>517</v>
      </c>
      <c r="H75" s="8" t="s">
        <v>471</v>
      </c>
    </row>
    <row r="76" spans="1:8" x14ac:dyDescent="0.3">
      <c r="A76" s="8">
        <v>60</v>
      </c>
      <c r="B76" s="8" t="s">
        <v>418</v>
      </c>
      <c r="C76" s="8" t="s">
        <v>252</v>
      </c>
      <c r="D76" s="8" t="s">
        <v>203</v>
      </c>
      <c r="E76" s="8" t="s">
        <v>61</v>
      </c>
      <c r="F76" s="28">
        <v>16646372</v>
      </c>
      <c r="G76" s="29" t="s">
        <v>518</v>
      </c>
      <c r="H76" s="8" t="s">
        <v>471</v>
      </c>
    </row>
    <row r="77" spans="1:8" x14ac:dyDescent="0.3">
      <c r="A77" s="8">
        <v>61</v>
      </c>
      <c r="B77" s="8" t="s">
        <v>419</v>
      </c>
      <c r="C77" s="8" t="s">
        <v>252</v>
      </c>
      <c r="D77" s="8" t="s">
        <v>203</v>
      </c>
      <c r="E77" s="8" t="s">
        <v>61</v>
      </c>
      <c r="F77" s="28">
        <v>16656432</v>
      </c>
      <c r="G77" s="29" t="s">
        <v>520</v>
      </c>
      <c r="H77" s="8" t="s">
        <v>471</v>
      </c>
    </row>
    <row r="78" spans="1:8" x14ac:dyDescent="0.3">
      <c r="A78" s="8">
        <v>62</v>
      </c>
      <c r="B78" s="8" t="s">
        <v>420</v>
      </c>
      <c r="C78" s="8" t="s">
        <v>252</v>
      </c>
      <c r="D78" s="8" t="s">
        <v>203</v>
      </c>
      <c r="E78" s="8" t="s">
        <v>61</v>
      </c>
      <c r="F78" s="28">
        <v>16662530</v>
      </c>
      <c r="G78" s="29" t="s">
        <v>519</v>
      </c>
      <c r="H78" s="8" t="s">
        <v>471</v>
      </c>
    </row>
    <row r="79" spans="1:8" x14ac:dyDescent="0.3">
      <c r="A79" s="8">
        <v>63</v>
      </c>
      <c r="B79" s="8" t="s">
        <v>421</v>
      </c>
      <c r="C79" s="8" t="s">
        <v>252</v>
      </c>
      <c r="D79" s="8" t="s">
        <v>203</v>
      </c>
      <c r="E79" s="8" t="s">
        <v>61</v>
      </c>
      <c r="F79" s="28">
        <v>16666752</v>
      </c>
      <c r="G79" s="29" t="s">
        <v>522</v>
      </c>
      <c r="H79" s="8" t="s">
        <v>471</v>
      </c>
    </row>
    <row r="80" spans="1:8" x14ac:dyDescent="0.3">
      <c r="A80" s="8">
        <v>64</v>
      </c>
      <c r="B80" s="8" t="s">
        <v>422</v>
      </c>
      <c r="C80" s="8" t="s">
        <v>252</v>
      </c>
      <c r="D80" s="8" t="s">
        <v>203</v>
      </c>
      <c r="E80" s="8" t="s">
        <v>61</v>
      </c>
      <c r="F80" s="28">
        <v>16648192</v>
      </c>
      <c r="G80" s="29" t="s">
        <v>526</v>
      </c>
      <c r="H80" s="8" t="s">
        <v>471</v>
      </c>
    </row>
    <row r="81" spans="1:8" x14ac:dyDescent="0.3">
      <c r="A81" s="8">
        <v>65</v>
      </c>
      <c r="B81" s="8" t="s">
        <v>423</v>
      </c>
      <c r="C81" s="8" t="s">
        <v>252</v>
      </c>
      <c r="D81" s="8" t="s">
        <v>203</v>
      </c>
      <c r="E81" s="8" t="s">
        <v>61</v>
      </c>
      <c r="F81" s="28">
        <v>16666850</v>
      </c>
      <c r="G81" s="29" t="s">
        <v>523</v>
      </c>
      <c r="H81" s="8" t="s">
        <v>471</v>
      </c>
    </row>
    <row r="82" spans="1:8" x14ac:dyDescent="0.3">
      <c r="A82" s="8">
        <v>66</v>
      </c>
      <c r="B82" s="8" t="s">
        <v>424</v>
      </c>
      <c r="C82" s="8" t="s">
        <v>252</v>
      </c>
      <c r="D82" s="8" t="s">
        <v>203</v>
      </c>
      <c r="E82" s="8" t="s">
        <v>61</v>
      </c>
      <c r="F82" s="28">
        <v>16646144</v>
      </c>
      <c r="G82" s="29" t="s">
        <v>521</v>
      </c>
      <c r="H82" s="8" t="s">
        <v>471</v>
      </c>
    </row>
    <row r="83" spans="1:8" x14ac:dyDescent="0.3">
      <c r="A83" s="8">
        <v>67</v>
      </c>
      <c r="B83" s="8" t="s">
        <v>425</v>
      </c>
      <c r="C83" s="8" t="s">
        <v>252</v>
      </c>
      <c r="D83" s="8" t="s">
        <v>203</v>
      </c>
      <c r="E83" s="8" t="s">
        <v>61</v>
      </c>
      <c r="F83" s="28">
        <v>16679936</v>
      </c>
      <c r="G83" s="29" t="s">
        <v>525</v>
      </c>
      <c r="H83" s="8" t="s">
        <v>471</v>
      </c>
    </row>
    <row r="84" spans="1:8" x14ac:dyDescent="0.3">
      <c r="A84" s="8">
        <v>68</v>
      </c>
      <c r="B84" s="8" t="s">
        <v>426</v>
      </c>
      <c r="C84" s="8" t="s">
        <v>252</v>
      </c>
      <c r="D84" s="8" t="s">
        <v>203</v>
      </c>
      <c r="E84" s="8" t="s">
        <v>61</v>
      </c>
      <c r="F84" s="28">
        <v>16711679</v>
      </c>
      <c r="G84" s="29" t="s">
        <v>513</v>
      </c>
      <c r="H84" s="8" t="s">
        <v>471</v>
      </c>
    </row>
    <row r="85" spans="1:8" x14ac:dyDescent="0.3">
      <c r="A85" s="8">
        <v>69</v>
      </c>
      <c r="B85" s="8" t="s">
        <v>427</v>
      </c>
      <c r="C85" s="8" t="s">
        <v>252</v>
      </c>
      <c r="D85" s="8" t="s">
        <v>203</v>
      </c>
      <c r="E85" s="8" t="s">
        <v>61</v>
      </c>
      <c r="F85" s="28">
        <v>16580608</v>
      </c>
      <c r="G85" s="29" t="s">
        <v>516</v>
      </c>
      <c r="H85" s="8" t="s">
        <v>471</v>
      </c>
    </row>
    <row r="86" spans="1:8" x14ac:dyDescent="0.3">
      <c r="A86" s="8">
        <v>70</v>
      </c>
      <c r="B86" s="8" t="s">
        <v>428</v>
      </c>
      <c r="C86" s="8" t="s">
        <v>252</v>
      </c>
      <c r="D86" s="8" t="s">
        <v>203</v>
      </c>
      <c r="E86" s="8" t="s">
        <v>61</v>
      </c>
      <c r="F86" s="28">
        <v>16679968</v>
      </c>
      <c r="G86" s="29" t="s">
        <v>524</v>
      </c>
      <c r="H86" s="8" t="s">
        <v>471</v>
      </c>
    </row>
    <row r="87" spans="1:8" x14ac:dyDescent="0.3">
      <c r="A87" s="8">
        <v>71</v>
      </c>
      <c r="B87" s="8" t="s">
        <v>429</v>
      </c>
      <c r="C87" s="8" t="s">
        <v>252</v>
      </c>
      <c r="D87" s="8" t="s">
        <v>203</v>
      </c>
      <c r="E87" s="8" t="s">
        <v>61</v>
      </c>
      <c r="F87" s="28">
        <v>16711679</v>
      </c>
      <c r="G87" s="29" t="s">
        <v>514</v>
      </c>
      <c r="H87" s="8" t="s">
        <v>471</v>
      </c>
    </row>
    <row r="88" spans="1:8" x14ac:dyDescent="0.3">
      <c r="A88" s="8">
        <v>72</v>
      </c>
      <c r="B88" s="8" t="s">
        <v>430</v>
      </c>
      <c r="C88" s="8" t="s">
        <v>252</v>
      </c>
      <c r="D88" s="8" t="s">
        <v>203</v>
      </c>
      <c r="E88" s="8" t="s">
        <v>61</v>
      </c>
      <c r="F88" s="28">
        <v>16580608</v>
      </c>
      <c r="G88" s="29" t="s">
        <v>516</v>
      </c>
      <c r="H88" s="8" t="s">
        <v>471</v>
      </c>
    </row>
    <row r="89" spans="1:8" x14ac:dyDescent="0.3">
      <c r="A89" s="8">
        <v>73</v>
      </c>
      <c r="B89" s="8" t="s">
        <v>431</v>
      </c>
      <c r="C89" s="8" t="s">
        <v>252</v>
      </c>
      <c r="D89" s="8" t="s">
        <v>203</v>
      </c>
      <c r="E89" s="8" t="s">
        <v>61</v>
      </c>
      <c r="F89" s="28">
        <v>16680000</v>
      </c>
      <c r="G89" s="29" t="s">
        <v>548</v>
      </c>
      <c r="H89" s="8" t="s">
        <v>471</v>
      </c>
    </row>
    <row r="90" spans="1:8" x14ac:dyDescent="0.3">
      <c r="A90" s="8">
        <v>74</v>
      </c>
      <c r="B90" s="8" t="s">
        <v>432</v>
      </c>
      <c r="C90" s="8" t="s">
        <v>252</v>
      </c>
      <c r="D90" s="8" t="s">
        <v>203</v>
      </c>
      <c r="E90" s="8" t="s">
        <v>61</v>
      </c>
      <c r="F90" s="30">
        <v>16711679</v>
      </c>
      <c r="G90" s="29" t="s">
        <v>515</v>
      </c>
      <c r="H90" s="8" t="s">
        <v>471</v>
      </c>
    </row>
    <row r="91" spans="1:8" x14ac:dyDescent="0.3">
      <c r="A91" s="8">
        <v>75</v>
      </c>
      <c r="B91" s="8" t="s">
        <v>433</v>
      </c>
      <c r="C91" s="8" t="s">
        <v>252</v>
      </c>
      <c r="D91" s="8" t="s">
        <v>203</v>
      </c>
      <c r="E91" s="8" t="s">
        <v>61</v>
      </c>
      <c r="F91" s="30">
        <v>16580608</v>
      </c>
      <c r="G91" s="29" t="s">
        <v>516</v>
      </c>
      <c r="H91" s="8" t="s">
        <v>471</v>
      </c>
    </row>
    <row r="92" spans="1:8" x14ac:dyDescent="0.3">
      <c r="A92" s="8">
        <v>76</v>
      </c>
      <c r="B92" s="8" t="s">
        <v>434</v>
      </c>
      <c r="C92" s="8" t="s">
        <v>252</v>
      </c>
      <c r="D92" s="8" t="s">
        <v>203</v>
      </c>
      <c r="E92" s="8" t="s">
        <v>61</v>
      </c>
      <c r="F92" s="30">
        <v>16700928</v>
      </c>
      <c r="G92" s="29" t="s">
        <v>549</v>
      </c>
      <c r="H92" s="8" t="s">
        <v>471</v>
      </c>
    </row>
    <row r="93" spans="1:8" x14ac:dyDescent="0.3">
      <c r="A93" s="8">
        <v>77</v>
      </c>
      <c r="B93" s="8" t="s">
        <v>435</v>
      </c>
      <c r="C93" s="8" t="s">
        <v>252</v>
      </c>
      <c r="D93" s="8" t="s">
        <v>203</v>
      </c>
      <c r="E93" s="8" t="s">
        <v>61</v>
      </c>
      <c r="F93" s="30">
        <v>16711679</v>
      </c>
      <c r="G93" s="29" t="s">
        <v>550</v>
      </c>
      <c r="H93" s="8" t="s">
        <v>471</v>
      </c>
    </row>
    <row r="94" spans="1:8" x14ac:dyDescent="0.3">
      <c r="A94" s="8">
        <v>78</v>
      </c>
      <c r="B94" s="8" t="s">
        <v>436</v>
      </c>
      <c r="C94" s="8" t="s">
        <v>252</v>
      </c>
      <c r="D94" s="8" t="s">
        <v>203</v>
      </c>
      <c r="E94" s="8" t="s">
        <v>61</v>
      </c>
      <c r="F94" s="30">
        <v>16580608</v>
      </c>
      <c r="G94" s="29" t="s">
        <v>516</v>
      </c>
      <c r="H94" s="8" t="s">
        <v>471</v>
      </c>
    </row>
    <row r="95" spans="1:8" x14ac:dyDescent="0.3">
      <c r="A95" s="8">
        <v>79</v>
      </c>
      <c r="B95" s="8" t="s">
        <v>437</v>
      </c>
      <c r="C95" s="8" t="s">
        <v>252</v>
      </c>
      <c r="D95" s="8" t="s">
        <v>203</v>
      </c>
      <c r="E95" s="8" t="s">
        <v>61</v>
      </c>
      <c r="G95" s="11"/>
      <c r="H95" s="8" t="s">
        <v>471</v>
      </c>
    </row>
    <row r="96" spans="1:8" x14ac:dyDescent="0.3">
      <c r="A96" s="8">
        <v>80</v>
      </c>
      <c r="B96" s="8" t="s">
        <v>438</v>
      </c>
      <c r="C96" s="8" t="s">
        <v>252</v>
      </c>
      <c r="D96" s="8" t="s">
        <v>203</v>
      </c>
      <c r="E96" s="8" t="s">
        <v>61</v>
      </c>
      <c r="G96" s="11"/>
      <c r="H96" s="8" t="s">
        <v>471</v>
      </c>
    </row>
    <row r="97" spans="1:8" x14ac:dyDescent="0.3">
      <c r="A97" s="8">
        <v>81</v>
      </c>
      <c r="B97" s="8" t="s">
        <v>439</v>
      </c>
      <c r="C97" s="8" t="s">
        <v>252</v>
      </c>
      <c r="D97" s="8" t="s">
        <v>203</v>
      </c>
      <c r="E97" s="8" t="s">
        <v>61</v>
      </c>
      <c r="G97" s="11"/>
      <c r="H97" s="8" t="s">
        <v>471</v>
      </c>
    </row>
    <row r="98" spans="1:8" x14ac:dyDescent="0.3">
      <c r="A98" s="8">
        <v>82</v>
      </c>
      <c r="B98" s="8" t="s">
        <v>440</v>
      </c>
      <c r="C98" s="8" t="s">
        <v>252</v>
      </c>
      <c r="D98" s="8" t="s">
        <v>203</v>
      </c>
      <c r="E98" s="8" t="s">
        <v>61</v>
      </c>
      <c r="G98" s="11"/>
      <c r="H98" s="8" t="s">
        <v>471</v>
      </c>
    </row>
    <row r="99" spans="1:8" x14ac:dyDescent="0.3">
      <c r="A99" s="8">
        <v>83</v>
      </c>
      <c r="B99" s="8" t="s">
        <v>441</v>
      </c>
      <c r="C99" s="8" t="s">
        <v>252</v>
      </c>
      <c r="D99" s="8" t="s">
        <v>203</v>
      </c>
      <c r="E99" s="8" t="s">
        <v>61</v>
      </c>
      <c r="G99" s="11"/>
      <c r="H99" s="8" t="s">
        <v>471</v>
      </c>
    </row>
    <row r="100" spans="1:8" x14ac:dyDescent="0.3">
      <c r="A100" s="8">
        <v>84</v>
      </c>
      <c r="B100" s="8" t="s">
        <v>442</v>
      </c>
      <c r="C100" s="8" t="s">
        <v>252</v>
      </c>
      <c r="D100" s="8" t="s">
        <v>203</v>
      </c>
      <c r="E100" s="8" t="s">
        <v>61</v>
      </c>
      <c r="G100" s="11"/>
      <c r="H100" s="8" t="s">
        <v>471</v>
      </c>
    </row>
    <row r="101" spans="1:8" x14ac:dyDescent="0.3">
      <c r="A101" s="8">
        <v>85</v>
      </c>
      <c r="B101" s="8" t="s">
        <v>443</v>
      </c>
      <c r="C101" s="8" t="s">
        <v>252</v>
      </c>
      <c r="D101" s="8" t="s">
        <v>203</v>
      </c>
      <c r="E101" s="8" t="s">
        <v>61</v>
      </c>
      <c r="G101" s="11"/>
      <c r="H101" s="8" t="s">
        <v>471</v>
      </c>
    </row>
    <row r="102" spans="1:8" x14ac:dyDescent="0.3">
      <c r="A102" s="8">
        <v>86</v>
      </c>
      <c r="B102" s="8" t="s">
        <v>444</v>
      </c>
      <c r="C102" s="8" t="s">
        <v>252</v>
      </c>
      <c r="D102" s="8" t="s">
        <v>203</v>
      </c>
      <c r="E102" s="8" t="s">
        <v>61</v>
      </c>
      <c r="G102" s="11"/>
      <c r="H102" s="8" t="s">
        <v>471</v>
      </c>
    </row>
    <row r="103" spans="1:8" x14ac:dyDescent="0.3">
      <c r="A103" s="8">
        <v>87</v>
      </c>
      <c r="B103" s="8" t="s">
        <v>445</v>
      </c>
      <c r="C103" s="8" t="s">
        <v>252</v>
      </c>
      <c r="D103" s="8" t="s">
        <v>203</v>
      </c>
      <c r="E103" s="8" t="s">
        <v>61</v>
      </c>
      <c r="G103" s="11"/>
      <c r="H103" s="8" t="s">
        <v>471</v>
      </c>
    </row>
    <row r="104" spans="1:8" x14ac:dyDescent="0.3">
      <c r="A104" s="8">
        <v>88</v>
      </c>
      <c r="B104" s="8" t="s">
        <v>446</v>
      </c>
      <c r="C104" s="8" t="s">
        <v>252</v>
      </c>
      <c r="D104" s="8" t="s">
        <v>203</v>
      </c>
      <c r="E104" s="8" t="s">
        <v>61</v>
      </c>
      <c r="G104" s="11"/>
      <c r="H104" s="8" t="s">
        <v>471</v>
      </c>
    </row>
    <row r="105" spans="1:8" x14ac:dyDescent="0.3">
      <c r="A105" s="8">
        <v>89</v>
      </c>
      <c r="B105" s="8" t="s">
        <v>447</v>
      </c>
      <c r="C105" s="8" t="s">
        <v>252</v>
      </c>
      <c r="D105" s="8" t="s">
        <v>203</v>
      </c>
      <c r="E105" s="8" t="s">
        <v>61</v>
      </c>
      <c r="G105" s="11"/>
      <c r="H105" s="8" t="s">
        <v>471</v>
      </c>
    </row>
    <row r="106" spans="1:8" x14ac:dyDescent="0.3">
      <c r="A106" s="8">
        <v>90</v>
      </c>
      <c r="B106" s="8" t="s">
        <v>448</v>
      </c>
      <c r="C106" s="8" t="s">
        <v>252</v>
      </c>
      <c r="D106" s="8" t="s">
        <v>203</v>
      </c>
      <c r="E106" s="8" t="s">
        <v>61</v>
      </c>
      <c r="G106" s="11"/>
      <c r="H106" s="8" t="s">
        <v>471</v>
      </c>
    </row>
    <row r="107" spans="1:8" x14ac:dyDescent="0.3">
      <c r="A107" s="8">
        <v>91</v>
      </c>
      <c r="B107" s="8" t="s">
        <v>449</v>
      </c>
      <c r="C107" s="8" t="s">
        <v>252</v>
      </c>
      <c r="D107" s="8" t="s">
        <v>203</v>
      </c>
      <c r="E107" s="8" t="s">
        <v>61</v>
      </c>
      <c r="G107" s="11"/>
      <c r="H107" s="8" t="s">
        <v>471</v>
      </c>
    </row>
    <row r="108" spans="1:8" x14ac:dyDescent="0.3">
      <c r="A108" s="8">
        <v>92</v>
      </c>
      <c r="B108" s="8" t="s">
        <v>450</v>
      </c>
      <c r="C108" s="8" t="s">
        <v>252</v>
      </c>
      <c r="D108" s="8" t="s">
        <v>203</v>
      </c>
      <c r="E108" s="8" t="s">
        <v>61</v>
      </c>
      <c r="G108" s="11"/>
      <c r="H108" s="8" t="s">
        <v>471</v>
      </c>
    </row>
    <row r="109" spans="1:8" x14ac:dyDescent="0.3">
      <c r="A109" s="8">
        <v>93</v>
      </c>
      <c r="B109" s="8" t="s">
        <v>451</v>
      </c>
      <c r="C109" s="8" t="s">
        <v>252</v>
      </c>
      <c r="D109" s="8" t="s">
        <v>203</v>
      </c>
      <c r="E109" s="8" t="s">
        <v>61</v>
      </c>
      <c r="G109" s="11"/>
      <c r="H109" s="8" t="s">
        <v>471</v>
      </c>
    </row>
    <row r="110" spans="1:8" x14ac:dyDescent="0.3">
      <c r="A110" s="8">
        <v>94</v>
      </c>
      <c r="B110" s="8" t="s">
        <v>452</v>
      </c>
      <c r="C110" s="8" t="s">
        <v>252</v>
      </c>
      <c r="D110" s="8" t="s">
        <v>203</v>
      </c>
      <c r="E110" s="8" t="s">
        <v>61</v>
      </c>
      <c r="G110" s="11"/>
      <c r="H110" s="8" t="s">
        <v>471</v>
      </c>
    </row>
    <row r="111" spans="1:8" x14ac:dyDescent="0.3">
      <c r="A111" s="8">
        <v>95</v>
      </c>
      <c r="B111" s="8" t="s">
        <v>453</v>
      </c>
      <c r="C111" s="8" t="s">
        <v>252</v>
      </c>
      <c r="D111" s="8" t="s">
        <v>203</v>
      </c>
      <c r="E111" s="8" t="s">
        <v>61</v>
      </c>
      <c r="G111" s="11"/>
      <c r="H111" s="8" t="s">
        <v>471</v>
      </c>
    </row>
    <row r="112" spans="1:8" x14ac:dyDescent="0.3">
      <c r="A112" s="8">
        <v>96</v>
      </c>
      <c r="B112" s="8" t="s">
        <v>454</v>
      </c>
      <c r="C112" s="8" t="s">
        <v>252</v>
      </c>
      <c r="D112" s="8" t="s">
        <v>203</v>
      </c>
      <c r="E112" s="8" t="s">
        <v>61</v>
      </c>
      <c r="G112" s="11"/>
      <c r="H112" s="8" t="s">
        <v>471</v>
      </c>
    </row>
    <row r="113" spans="1:8" x14ac:dyDescent="0.3">
      <c r="A113" s="8">
        <v>97</v>
      </c>
      <c r="B113" s="8" t="s">
        <v>455</v>
      </c>
      <c r="C113" s="8" t="s">
        <v>252</v>
      </c>
      <c r="D113" s="8" t="s">
        <v>203</v>
      </c>
      <c r="E113" s="8" t="s">
        <v>61</v>
      </c>
      <c r="G113" s="11"/>
      <c r="H113" s="8" t="s">
        <v>471</v>
      </c>
    </row>
    <row r="114" spans="1:8" x14ac:dyDescent="0.3">
      <c r="A114" s="8">
        <v>98</v>
      </c>
      <c r="B114" s="8" t="s">
        <v>456</v>
      </c>
      <c r="C114" s="8" t="s">
        <v>252</v>
      </c>
      <c r="D114" s="8" t="s">
        <v>203</v>
      </c>
      <c r="E114" s="8" t="s">
        <v>61</v>
      </c>
      <c r="G114" s="11"/>
      <c r="H114" s="8" t="s">
        <v>471</v>
      </c>
    </row>
    <row r="115" spans="1:8" x14ac:dyDescent="0.3">
      <c r="A115" s="8">
        <v>99</v>
      </c>
      <c r="B115" s="8" t="s">
        <v>457</v>
      </c>
      <c r="C115" s="8" t="s">
        <v>252</v>
      </c>
      <c r="D115" s="8" t="s">
        <v>203</v>
      </c>
      <c r="E115" s="8" t="s">
        <v>61</v>
      </c>
      <c r="G115" s="11"/>
      <c r="H115" s="8" t="s">
        <v>471</v>
      </c>
    </row>
    <row r="116" spans="1:8" x14ac:dyDescent="0.3">
      <c r="A116" s="8">
        <v>100</v>
      </c>
      <c r="B116" s="8" t="s">
        <v>458</v>
      </c>
      <c r="C116" s="8" t="s">
        <v>252</v>
      </c>
      <c r="D116" s="8" t="s">
        <v>203</v>
      </c>
      <c r="E116" s="8" t="s">
        <v>61</v>
      </c>
      <c r="G116" s="11"/>
      <c r="H116" s="8" t="s">
        <v>471</v>
      </c>
    </row>
    <row r="117" spans="1:8" x14ac:dyDescent="0.3">
      <c r="A117" s="8">
        <v>101</v>
      </c>
      <c r="B117" s="8" t="s">
        <v>459</v>
      </c>
      <c r="C117" s="8" t="s">
        <v>252</v>
      </c>
      <c r="D117" s="8" t="s">
        <v>203</v>
      </c>
      <c r="E117" s="8" t="s">
        <v>61</v>
      </c>
      <c r="G117" s="11"/>
      <c r="H117" s="8" t="s">
        <v>471</v>
      </c>
    </row>
    <row r="118" spans="1:8" x14ac:dyDescent="0.3">
      <c r="A118" s="8">
        <v>102</v>
      </c>
      <c r="B118" s="8" t="s">
        <v>460</v>
      </c>
      <c r="C118" s="8" t="s">
        <v>252</v>
      </c>
      <c r="D118" s="8" t="s">
        <v>203</v>
      </c>
      <c r="E118" s="8" t="s">
        <v>61</v>
      </c>
      <c r="G118" s="11"/>
      <c r="H118" s="8" t="s">
        <v>471</v>
      </c>
    </row>
    <row r="119" spans="1:8" x14ac:dyDescent="0.3">
      <c r="A119" s="8">
        <v>103</v>
      </c>
      <c r="B119" s="8" t="s">
        <v>461</v>
      </c>
      <c r="C119" s="8" t="s">
        <v>252</v>
      </c>
      <c r="D119" s="8" t="s">
        <v>203</v>
      </c>
      <c r="E119" s="8" t="s">
        <v>61</v>
      </c>
      <c r="G119" s="11"/>
      <c r="H119" s="8" t="s">
        <v>471</v>
      </c>
    </row>
    <row r="120" spans="1:8" x14ac:dyDescent="0.3">
      <c r="A120" s="8">
        <v>104</v>
      </c>
      <c r="B120" s="8" t="s">
        <v>462</v>
      </c>
      <c r="C120" s="8" t="s">
        <v>252</v>
      </c>
      <c r="D120" s="8" t="s">
        <v>203</v>
      </c>
      <c r="E120" s="8" t="s">
        <v>61</v>
      </c>
      <c r="G120" s="11"/>
      <c r="H120" s="8" t="s">
        <v>471</v>
      </c>
    </row>
    <row r="121" spans="1:8" x14ac:dyDescent="0.3">
      <c r="A121" s="8">
        <v>105</v>
      </c>
      <c r="B121" s="8" t="s">
        <v>463</v>
      </c>
      <c r="C121" s="8" t="s">
        <v>252</v>
      </c>
      <c r="D121" s="8" t="s">
        <v>203</v>
      </c>
      <c r="E121" s="8" t="s">
        <v>61</v>
      </c>
      <c r="G121" s="11"/>
      <c r="H121" s="8" t="s">
        <v>471</v>
      </c>
    </row>
    <row r="122" spans="1:8" x14ac:dyDescent="0.3">
      <c r="A122" s="8">
        <v>106</v>
      </c>
      <c r="B122" s="8" t="s">
        <v>464</v>
      </c>
      <c r="C122" s="8" t="s">
        <v>252</v>
      </c>
      <c r="D122" s="8" t="s">
        <v>203</v>
      </c>
      <c r="E122" s="8" t="s">
        <v>61</v>
      </c>
      <c r="G122" s="11"/>
      <c r="H122" s="8" t="s">
        <v>471</v>
      </c>
    </row>
    <row r="123" spans="1:8" x14ac:dyDescent="0.3">
      <c r="A123" s="8">
        <v>107</v>
      </c>
      <c r="B123" s="8" t="s">
        <v>465</v>
      </c>
      <c r="C123" s="8" t="s">
        <v>252</v>
      </c>
      <c r="D123" s="8" t="s">
        <v>203</v>
      </c>
      <c r="E123" s="8" t="s">
        <v>61</v>
      </c>
      <c r="G123" s="11"/>
      <c r="H123" s="8" t="s">
        <v>471</v>
      </c>
    </row>
    <row r="124" spans="1:8" x14ac:dyDescent="0.3">
      <c r="A124" s="8">
        <v>108</v>
      </c>
      <c r="B124" s="8" t="s">
        <v>466</v>
      </c>
      <c r="C124" s="8" t="s">
        <v>252</v>
      </c>
      <c r="D124" s="8" t="s">
        <v>203</v>
      </c>
      <c r="E124" s="8" t="s">
        <v>61</v>
      </c>
      <c r="G124" s="11"/>
      <c r="H124" s="8" t="s">
        <v>471</v>
      </c>
    </row>
    <row r="125" spans="1:8" x14ac:dyDescent="0.3">
      <c r="A125" s="8">
        <v>109</v>
      </c>
      <c r="B125" s="8" t="s">
        <v>467</v>
      </c>
      <c r="C125" s="8" t="s">
        <v>252</v>
      </c>
      <c r="D125" s="8" t="s">
        <v>203</v>
      </c>
      <c r="E125" s="8" t="s">
        <v>61</v>
      </c>
      <c r="G125" s="11"/>
      <c r="H125" s="8" t="s">
        <v>471</v>
      </c>
    </row>
    <row r="126" spans="1:8" x14ac:dyDescent="0.3">
      <c r="A126" s="8">
        <v>110</v>
      </c>
      <c r="B126" s="8" t="s">
        <v>468</v>
      </c>
      <c r="C126" s="8" t="s">
        <v>252</v>
      </c>
      <c r="D126" s="8" t="s">
        <v>203</v>
      </c>
      <c r="E126" s="8" t="s">
        <v>61</v>
      </c>
      <c r="G126" s="11"/>
      <c r="H126" s="8" t="s">
        <v>471</v>
      </c>
    </row>
    <row r="127" spans="1:8" x14ac:dyDescent="0.3">
      <c r="A127" s="8">
        <v>111</v>
      </c>
      <c r="B127" s="8" t="s">
        <v>469</v>
      </c>
      <c r="C127" s="8" t="s">
        <v>252</v>
      </c>
      <c r="D127" s="8" t="s">
        <v>203</v>
      </c>
      <c r="E127" s="8" t="s">
        <v>61</v>
      </c>
      <c r="G127" s="11"/>
      <c r="H127" s="8" t="s">
        <v>471</v>
      </c>
    </row>
    <row r="128" spans="1:8" x14ac:dyDescent="0.3">
      <c r="A128" s="8">
        <v>112</v>
      </c>
      <c r="B128" s="8" t="s">
        <v>470</v>
      </c>
      <c r="C128" s="8" t="s">
        <v>252</v>
      </c>
      <c r="D128" s="8" t="s">
        <v>203</v>
      </c>
      <c r="E128" s="8" t="s">
        <v>61</v>
      </c>
      <c r="G128" s="11"/>
      <c r="H128" s="8" t="s">
        <v>471</v>
      </c>
    </row>
    <row r="129" spans="1:8" x14ac:dyDescent="0.3">
      <c r="A129" s="8">
        <v>113</v>
      </c>
      <c r="B129" s="8" t="s">
        <v>545</v>
      </c>
      <c r="C129" s="8" t="s">
        <v>252</v>
      </c>
      <c r="D129" s="8" t="s">
        <v>203</v>
      </c>
      <c r="E129" s="8" t="s">
        <v>61</v>
      </c>
      <c r="G129" s="11"/>
      <c r="H129" s="8" t="s">
        <v>471</v>
      </c>
    </row>
    <row r="130" spans="1:8" x14ac:dyDescent="0.3">
      <c r="A130" s="8">
        <v>114</v>
      </c>
      <c r="B130" s="8" t="s">
        <v>546</v>
      </c>
      <c r="C130" s="8" t="s">
        <v>252</v>
      </c>
      <c r="D130" s="8" t="s">
        <v>203</v>
      </c>
      <c r="E130" s="8" t="s">
        <v>61</v>
      </c>
      <c r="G130" s="11"/>
      <c r="H130" s="8" t="s">
        <v>471</v>
      </c>
    </row>
    <row r="131" spans="1:8" s="9" customFormat="1" ht="43.2" x14ac:dyDescent="0.3">
      <c r="A131" s="9">
        <v>5</v>
      </c>
      <c r="C131" s="9" t="s">
        <v>195</v>
      </c>
      <c r="D131" s="9" t="s">
        <v>201</v>
      </c>
      <c r="E131" s="9" t="s">
        <v>12</v>
      </c>
      <c r="F131" s="24">
        <v>1</v>
      </c>
      <c r="G131" s="4" t="s">
        <v>392</v>
      </c>
      <c r="H131" s="9" t="s">
        <v>410</v>
      </c>
    </row>
    <row r="132" spans="1:8" s="9" customFormat="1" x14ac:dyDescent="0.3">
      <c r="A132" s="9">
        <v>190</v>
      </c>
      <c r="C132" s="9" t="s">
        <v>202</v>
      </c>
      <c r="D132" s="9" t="s">
        <v>203</v>
      </c>
      <c r="E132" s="9" t="s">
        <v>13</v>
      </c>
      <c r="F132" s="24" t="s">
        <v>396</v>
      </c>
    </row>
    <row r="133" spans="1:8" x14ac:dyDescent="0.3">
      <c r="A133" s="8">
        <v>191</v>
      </c>
      <c r="C133" s="8" t="s">
        <v>202</v>
      </c>
      <c r="D133" s="8" t="s">
        <v>204</v>
      </c>
      <c r="E133" s="8" t="s">
        <v>14</v>
      </c>
      <c r="F133" s="21" t="s">
        <v>396</v>
      </c>
    </row>
    <row r="134" spans="1:8" x14ac:dyDescent="0.3">
      <c r="A134" s="8">
        <v>192</v>
      </c>
      <c r="C134" s="8" t="s">
        <v>202</v>
      </c>
      <c r="D134" s="8" t="s">
        <v>205</v>
      </c>
      <c r="E134" s="8" t="s">
        <v>15</v>
      </c>
      <c r="F134" s="21" t="s">
        <v>396</v>
      </c>
    </row>
    <row r="135" spans="1:8" x14ac:dyDescent="0.3">
      <c r="A135" s="8">
        <v>193</v>
      </c>
      <c r="C135" s="8" t="s">
        <v>202</v>
      </c>
      <c r="D135" s="8" t="s">
        <v>206</v>
      </c>
      <c r="E135" s="8" t="s">
        <v>16</v>
      </c>
      <c r="F135" s="21" t="s">
        <v>396</v>
      </c>
    </row>
    <row r="136" spans="1:8" x14ac:dyDescent="0.3">
      <c r="A136" s="8">
        <v>194</v>
      </c>
      <c r="C136" s="8" t="s">
        <v>202</v>
      </c>
      <c r="D136" s="8" t="s">
        <v>207</v>
      </c>
      <c r="E136" s="8" t="s">
        <v>17</v>
      </c>
      <c r="F136" s="21" t="s">
        <v>396</v>
      </c>
    </row>
    <row r="137" spans="1:8" x14ac:dyDescent="0.3">
      <c r="A137" s="8">
        <v>195</v>
      </c>
      <c r="C137" s="8" t="s">
        <v>202</v>
      </c>
      <c r="D137" s="8" t="s">
        <v>208</v>
      </c>
      <c r="E137" s="8" t="s">
        <v>18</v>
      </c>
      <c r="F137" s="21" t="s">
        <v>396</v>
      </c>
    </row>
    <row r="138" spans="1:8" x14ac:dyDescent="0.3">
      <c r="A138" s="8">
        <v>196</v>
      </c>
      <c r="C138" s="8" t="s">
        <v>202</v>
      </c>
      <c r="D138" s="8" t="s">
        <v>209</v>
      </c>
      <c r="E138" s="8" t="s">
        <v>19</v>
      </c>
      <c r="F138" s="21" t="s">
        <v>396</v>
      </c>
    </row>
    <row r="139" spans="1:8" x14ac:dyDescent="0.3">
      <c r="A139" s="8">
        <v>197</v>
      </c>
      <c r="C139" s="8" t="s">
        <v>202</v>
      </c>
      <c r="D139" s="8" t="s">
        <v>210</v>
      </c>
      <c r="E139" s="8" t="s">
        <v>20</v>
      </c>
      <c r="F139" s="21" t="s">
        <v>396</v>
      </c>
    </row>
    <row r="140" spans="1:8" x14ac:dyDescent="0.3">
      <c r="A140" s="8">
        <v>198</v>
      </c>
      <c r="C140" s="8" t="s">
        <v>202</v>
      </c>
      <c r="D140" s="8" t="s">
        <v>211</v>
      </c>
      <c r="E140" s="8" t="s">
        <v>21</v>
      </c>
      <c r="F140" s="21" t="s">
        <v>396</v>
      </c>
    </row>
    <row r="141" spans="1:8" x14ac:dyDescent="0.3">
      <c r="A141" s="8">
        <v>199</v>
      </c>
      <c r="C141" s="8" t="s">
        <v>202</v>
      </c>
      <c r="D141" s="8" t="s">
        <v>212</v>
      </c>
      <c r="E141" s="8" t="s">
        <v>22</v>
      </c>
      <c r="F141" s="21" t="s">
        <v>396</v>
      </c>
    </row>
    <row r="142" spans="1:8" x14ac:dyDescent="0.3">
      <c r="A142" s="8">
        <v>200</v>
      </c>
      <c r="C142" s="8" t="s">
        <v>202</v>
      </c>
      <c r="D142" s="8" t="s">
        <v>213</v>
      </c>
      <c r="E142" s="8" t="s">
        <v>23</v>
      </c>
      <c r="F142" s="21" t="s">
        <v>396</v>
      </c>
      <c r="G142" s="3"/>
    </row>
    <row r="143" spans="1:8" x14ac:dyDescent="0.3">
      <c r="A143" s="8">
        <v>201</v>
      </c>
      <c r="C143" s="8" t="s">
        <v>202</v>
      </c>
      <c r="D143" s="8" t="s">
        <v>214</v>
      </c>
      <c r="E143" s="8" t="s">
        <v>24</v>
      </c>
      <c r="F143" s="21" t="s">
        <v>396</v>
      </c>
      <c r="G143" s="3"/>
    </row>
    <row r="144" spans="1:8" x14ac:dyDescent="0.3">
      <c r="A144" s="8">
        <v>219</v>
      </c>
      <c r="C144" s="8" t="s">
        <v>266</v>
      </c>
      <c r="D144" s="8" t="s">
        <v>203</v>
      </c>
      <c r="E144" s="8" t="s">
        <v>75</v>
      </c>
      <c r="F144" s="21" t="s">
        <v>396</v>
      </c>
    </row>
    <row r="145" spans="1:7" x14ac:dyDescent="0.3">
      <c r="A145" s="8">
        <v>220</v>
      </c>
      <c r="C145" s="8" t="s">
        <v>266</v>
      </c>
      <c r="D145" s="8" t="s">
        <v>267</v>
      </c>
      <c r="E145" s="8" t="s">
        <v>76</v>
      </c>
      <c r="F145" s="21" t="s">
        <v>396</v>
      </c>
    </row>
    <row r="146" spans="1:7" x14ac:dyDescent="0.3">
      <c r="A146" s="8">
        <v>221</v>
      </c>
      <c r="C146" s="8" t="s">
        <v>266</v>
      </c>
      <c r="D146" s="8" t="s">
        <v>268</v>
      </c>
      <c r="E146" s="8" t="s">
        <v>77</v>
      </c>
      <c r="F146" s="21" t="s">
        <v>396</v>
      </c>
    </row>
    <row r="147" spans="1:7" x14ac:dyDescent="0.3">
      <c r="A147" s="8">
        <v>222</v>
      </c>
      <c r="C147" s="8" t="s">
        <v>266</v>
      </c>
      <c r="D147" s="8" t="s">
        <v>269</v>
      </c>
      <c r="E147" s="8" t="s">
        <v>78</v>
      </c>
      <c r="F147" s="21" t="s">
        <v>396</v>
      </c>
    </row>
    <row r="148" spans="1:7" x14ac:dyDescent="0.3">
      <c r="A148" s="8">
        <v>223</v>
      </c>
      <c r="C148" s="8" t="s">
        <v>270</v>
      </c>
      <c r="D148" s="8" t="s">
        <v>216</v>
      </c>
      <c r="E148" s="8" t="s">
        <v>79</v>
      </c>
      <c r="F148" s="21" t="s">
        <v>396</v>
      </c>
    </row>
    <row r="149" spans="1:7" s="12" customFormat="1" x14ac:dyDescent="0.3">
      <c r="A149" s="12">
        <v>202</v>
      </c>
      <c r="C149" s="12" t="s">
        <v>248</v>
      </c>
      <c r="D149" s="12" t="s">
        <v>203</v>
      </c>
      <c r="E149" s="12" t="s">
        <v>57</v>
      </c>
      <c r="F149" s="25" t="s">
        <v>397</v>
      </c>
      <c r="G149" s="12" t="s">
        <v>412</v>
      </c>
    </row>
    <row r="150" spans="1:7" x14ac:dyDescent="0.3">
      <c r="A150" s="8">
        <v>203</v>
      </c>
      <c r="C150" s="8" t="s">
        <v>248</v>
      </c>
      <c r="D150" s="8" t="s">
        <v>249</v>
      </c>
      <c r="E150" s="10" t="s">
        <v>58</v>
      </c>
      <c r="F150" s="22" t="s">
        <v>397</v>
      </c>
      <c r="G150" s="8" t="s">
        <v>412</v>
      </c>
    </row>
    <row r="151" spans="1:7" x14ac:dyDescent="0.3">
      <c r="A151" s="8">
        <v>204</v>
      </c>
      <c r="C151" s="8" t="s">
        <v>248</v>
      </c>
      <c r="D151" s="8" t="s">
        <v>250</v>
      </c>
      <c r="E151" s="10" t="s">
        <v>59</v>
      </c>
      <c r="F151" s="22" t="s">
        <v>397</v>
      </c>
      <c r="G151" s="8" t="s">
        <v>412</v>
      </c>
    </row>
    <row r="152" spans="1:7" x14ac:dyDescent="0.3">
      <c r="A152" s="8">
        <v>205</v>
      </c>
      <c r="C152" s="8" t="s">
        <v>248</v>
      </c>
      <c r="D152" s="8" t="s">
        <v>251</v>
      </c>
      <c r="E152" s="10" t="s">
        <v>60</v>
      </c>
      <c r="F152" s="22" t="s">
        <v>397</v>
      </c>
      <c r="G152" s="8" t="s">
        <v>412</v>
      </c>
    </row>
    <row r="153" spans="1:7" s="12" customFormat="1" x14ac:dyDescent="0.3">
      <c r="A153" s="12">
        <v>206</v>
      </c>
      <c r="C153" s="12" t="s">
        <v>252</v>
      </c>
      <c r="D153" s="12" t="s">
        <v>253</v>
      </c>
      <c r="E153" s="12" t="s">
        <v>62</v>
      </c>
      <c r="F153" s="25" t="s">
        <v>397</v>
      </c>
      <c r="G153" s="12" t="s">
        <v>415</v>
      </c>
    </row>
    <row r="154" spans="1:7" x14ac:dyDescent="0.3">
      <c r="A154" s="8">
        <v>207</v>
      </c>
      <c r="C154" s="8" t="s">
        <v>252</v>
      </c>
      <c r="D154" s="8" t="s">
        <v>254</v>
      </c>
      <c r="E154" s="10" t="s">
        <v>63</v>
      </c>
      <c r="F154" s="22" t="s">
        <v>397</v>
      </c>
      <c r="G154" s="8" t="s">
        <v>415</v>
      </c>
    </row>
    <row r="155" spans="1:7" x14ac:dyDescent="0.3">
      <c r="A155" s="8">
        <v>208</v>
      </c>
      <c r="C155" s="8" t="s">
        <v>252</v>
      </c>
      <c r="D155" s="8" t="s">
        <v>255</v>
      </c>
      <c r="E155" s="10" t="s">
        <v>64</v>
      </c>
      <c r="F155" s="22" t="s">
        <v>397</v>
      </c>
      <c r="G155" s="8" t="s">
        <v>415</v>
      </c>
    </row>
    <row r="156" spans="1:7" x14ac:dyDescent="0.3">
      <c r="A156" s="8">
        <v>209</v>
      </c>
      <c r="C156" s="8" t="s">
        <v>252</v>
      </c>
      <c r="D156" s="8" t="s">
        <v>256</v>
      </c>
      <c r="E156" s="10" t="s">
        <v>65</v>
      </c>
      <c r="F156" s="22" t="s">
        <v>397</v>
      </c>
      <c r="G156" s="8" t="s">
        <v>415</v>
      </c>
    </row>
    <row r="157" spans="1:7" x14ac:dyDescent="0.3">
      <c r="A157" s="8">
        <v>210</v>
      </c>
      <c r="C157" s="8" t="s">
        <v>252</v>
      </c>
      <c r="D157" s="8" t="s">
        <v>257</v>
      </c>
      <c r="E157" s="10" t="s">
        <v>66</v>
      </c>
      <c r="F157" s="22" t="s">
        <v>397</v>
      </c>
      <c r="G157" s="8" t="s">
        <v>415</v>
      </c>
    </row>
    <row r="158" spans="1:7" x14ac:dyDescent="0.3">
      <c r="A158" s="8">
        <v>211</v>
      </c>
      <c r="C158" s="8" t="s">
        <v>252</v>
      </c>
      <c r="D158" s="8" t="s">
        <v>258</v>
      </c>
      <c r="E158" s="10" t="s">
        <v>67</v>
      </c>
      <c r="F158" s="22" t="s">
        <v>397</v>
      </c>
      <c r="G158" s="8" t="s">
        <v>415</v>
      </c>
    </row>
    <row r="159" spans="1:7" x14ac:dyDescent="0.3">
      <c r="A159" s="8">
        <v>212</v>
      </c>
      <c r="C159" s="8" t="s">
        <v>252</v>
      </c>
      <c r="D159" s="8" t="s">
        <v>259</v>
      </c>
      <c r="E159" s="10" t="s">
        <v>68</v>
      </c>
      <c r="F159" s="22" t="s">
        <v>397</v>
      </c>
      <c r="G159" s="8" t="s">
        <v>415</v>
      </c>
    </row>
    <row r="160" spans="1:7" x14ac:dyDescent="0.3">
      <c r="A160" s="8">
        <v>213</v>
      </c>
      <c r="C160" s="8" t="s">
        <v>252</v>
      </c>
      <c r="D160" s="8" t="s">
        <v>260</v>
      </c>
      <c r="E160" s="10" t="s">
        <v>69</v>
      </c>
      <c r="F160" s="22" t="s">
        <v>397</v>
      </c>
      <c r="G160" s="8" t="s">
        <v>415</v>
      </c>
    </row>
    <row r="161" spans="1:7" x14ac:dyDescent="0.3">
      <c r="A161" s="8">
        <v>214</v>
      </c>
      <c r="C161" s="8" t="s">
        <v>252</v>
      </c>
      <c r="D161" s="8" t="s">
        <v>261</v>
      </c>
      <c r="E161" s="10" t="s">
        <v>70</v>
      </c>
      <c r="F161" s="22" t="s">
        <v>397</v>
      </c>
      <c r="G161" s="8" t="s">
        <v>415</v>
      </c>
    </row>
    <row r="162" spans="1:7" x14ac:dyDescent="0.3">
      <c r="A162" s="8">
        <v>215</v>
      </c>
      <c r="C162" s="8" t="s">
        <v>252</v>
      </c>
      <c r="D162" s="8" t="s">
        <v>262</v>
      </c>
      <c r="E162" s="10" t="s">
        <v>71</v>
      </c>
      <c r="F162" s="22" t="s">
        <v>397</v>
      </c>
      <c r="G162" s="8" t="s">
        <v>415</v>
      </c>
    </row>
    <row r="163" spans="1:7" x14ac:dyDescent="0.3">
      <c r="A163" s="8">
        <v>216</v>
      </c>
      <c r="C163" s="8" t="s">
        <v>252</v>
      </c>
      <c r="D163" s="8" t="s">
        <v>263</v>
      </c>
      <c r="E163" s="10" t="s">
        <v>72</v>
      </c>
      <c r="F163" s="22" t="s">
        <v>397</v>
      </c>
      <c r="G163" s="8" t="s">
        <v>415</v>
      </c>
    </row>
    <row r="164" spans="1:7" x14ac:dyDescent="0.3">
      <c r="A164" s="8">
        <v>217</v>
      </c>
      <c r="C164" s="8" t="s">
        <v>252</v>
      </c>
      <c r="D164" s="8" t="s">
        <v>264</v>
      </c>
      <c r="E164" s="10" t="s">
        <v>73</v>
      </c>
      <c r="F164" s="22" t="s">
        <v>397</v>
      </c>
      <c r="G164" s="8" t="s">
        <v>415</v>
      </c>
    </row>
    <row r="165" spans="1:7" x14ac:dyDescent="0.3">
      <c r="A165" s="13">
        <v>218</v>
      </c>
      <c r="B165" s="13"/>
      <c r="C165" s="13" t="s">
        <v>265</v>
      </c>
      <c r="D165" s="13" t="s">
        <v>216</v>
      </c>
      <c r="E165" s="13" t="s">
        <v>74</v>
      </c>
      <c r="F165" s="26" t="s">
        <v>397</v>
      </c>
      <c r="G165" s="13" t="s">
        <v>416</v>
      </c>
    </row>
    <row r="166" spans="1:7" x14ac:dyDescent="0.3">
      <c r="A166" s="13">
        <v>105</v>
      </c>
      <c r="B166" s="13"/>
      <c r="C166" s="13" t="s">
        <v>303</v>
      </c>
      <c r="D166" s="13" t="s">
        <v>203</v>
      </c>
      <c r="E166" s="13" t="s">
        <v>112</v>
      </c>
      <c r="F166" s="26" t="s">
        <v>397</v>
      </c>
      <c r="G166" s="13" t="s">
        <v>487</v>
      </c>
    </row>
    <row r="167" spans="1:7" x14ac:dyDescent="0.3">
      <c r="A167" s="13">
        <v>106</v>
      </c>
      <c r="B167" s="13"/>
      <c r="C167" s="13" t="s">
        <v>303</v>
      </c>
      <c r="D167" s="13" t="s">
        <v>304</v>
      </c>
      <c r="E167" s="13" t="s">
        <v>113</v>
      </c>
      <c r="F167" s="26" t="s">
        <v>397</v>
      </c>
      <c r="G167" s="13" t="s">
        <v>487</v>
      </c>
    </row>
    <row r="168" spans="1:7" x14ac:dyDescent="0.3">
      <c r="A168" s="13">
        <v>107</v>
      </c>
      <c r="B168" s="13"/>
      <c r="C168" s="13" t="s">
        <v>303</v>
      </c>
      <c r="D168" s="13" t="s">
        <v>305</v>
      </c>
      <c r="E168" s="13" t="s">
        <v>114</v>
      </c>
      <c r="F168" s="26" t="s">
        <v>397</v>
      </c>
      <c r="G168" s="13" t="s">
        <v>487</v>
      </c>
    </row>
    <row r="169" spans="1:7" x14ac:dyDescent="0.3">
      <c r="A169" s="13">
        <v>108</v>
      </c>
      <c r="B169" s="13"/>
      <c r="C169" s="13" t="s">
        <v>303</v>
      </c>
      <c r="D169" s="13" t="s">
        <v>306</v>
      </c>
      <c r="E169" s="13" t="s">
        <v>115</v>
      </c>
      <c r="F169" s="26" t="s">
        <v>397</v>
      </c>
      <c r="G169" s="13" t="s">
        <v>487</v>
      </c>
    </row>
    <row r="170" spans="1:7" x14ac:dyDescent="0.3">
      <c r="A170" s="13">
        <v>109</v>
      </c>
      <c r="B170" s="13"/>
      <c r="C170" s="13" t="s">
        <v>303</v>
      </c>
      <c r="D170" s="13" t="s">
        <v>307</v>
      </c>
      <c r="E170" s="13" t="s">
        <v>116</v>
      </c>
      <c r="F170" s="26" t="s">
        <v>397</v>
      </c>
      <c r="G170" s="13" t="s">
        <v>487</v>
      </c>
    </row>
    <row r="171" spans="1:7" x14ac:dyDescent="0.3">
      <c r="A171" s="13">
        <v>110</v>
      </c>
      <c r="B171" s="13"/>
      <c r="C171" s="13" t="s">
        <v>303</v>
      </c>
      <c r="D171" s="13" t="s">
        <v>308</v>
      </c>
      <c r="E171" s="13" t="s">
        <v>117</v>
      </c>
      <c r="F171" s="26" t="s">
        <v>397</v>
      </c>
      <c r="G171" s="13" t="s">
        <v>487</v>
      </c>
    </row>
    <row r="172" spans="1:7" x14ac:dyDescent="0.3">
      <c r="A172" s="13">
        <v>111</v>
      </c>
      <c r="B172" s="13"/>
      <c r="C172" s="13" t="s">
        <v>303</v>
      </c>
      <c r="D172" s="13" t="s">
        <v>309</v>
      </c>
      <c r="E172" s="13" t="s">
        <v>118</v>
      </c>
      <c r="F172" s="26" t="s">
        <v>397</v>
      </c>
      <c r="G172" s="13" t="s">
        <v>487</v>
      </c>
    </row>
    <row r="173" spans="1:7" x14ac:dyDescent="0.3">
      <c r="A173" s="13">
        <v>112</v>
      </c>
      <c r="B173" s="13"/>
      <c r="C173" s="13" t="s">
        <v>303</v>
      </c>
      <c r="D173" s="13" t="s">
        <v>310</v>
      </c>
      <c r="E173" s="13" t="s">
        <v>119</v>
      </c>
      <c r="F173" s="26" t="s">
        <v>397</v>
      </c>
      <c r="G173" s="13" t="s">
        <v>487</v>
      </c>
    </row>
    <row r="174" spans="1:7" x14ac:dyDescent="0.3">
      <c r="A174" s="13">
        <v>113</v>
      </c>
      <c r="B174" s="13"/>
      <c r="C174" s="13" t="s">
        <v>303</v>
      </c>
      <c r="D174" s="13" t="s">
        <v>311</v>
      </c>
      <c r="E174" s="13" t="s">
        <v>120</v>
      </c>
      <c r="F174" s="26" t="s">
        <v>397</v>
      </c>
      <c r="G174" s="13" t="s">
        <v>487</v>
      </c>
    </row>
    <row r="175" spans="1:7" x14ac:dyDescent="0.3">
      <c r="A175" s="13">
        <v>114</v>
      </c>
      <c r="B175" s="13"/>
      <c r="C175" s="13" t="s">
        <v>303</v>
      </c>
      <c r="D175" s="13" t="s">
        <v>312</v>
      </c>
      <c r="E175" s="13" t="s">
        <v>121</v>
      </c>
      <c r="F175" s="26" t="s">
        <v>397</v>
      </c>
      <c r="G175" s="13" t="s">
        <v>487</v>
      </c>
    </row>
    <row r="176" spans="1:7" x14ac:dyDescent="0.3">
      <c r="A176" s="13">
        <v>115</v>
      </c>
      <c r="B176" s="13"/>
      <c r="C176" s="13" t="s">
        <v>303</v>
      </c>
      <c r="D176" s="13" t="s">
        <v>313</v>
      </c>
      <c r="E176" s="13" t="s">
        <v>122</v>
      </c>
      <c r="F176" s="26" t="s">
        <v>397</v>
      </c>
      <c r="G176" s="13" t="s">
        <v>487</v>
      </c>
    </row>
    <row r="177" spans="1:7" x14ac:dyDescent="0.3">
      <c r="A177" s="13">
        <v>116</v>
      </c>
      <c r="B177" s="13"/>
      <c r="C177" s="13" t="s">
        <v>303</v>
      </c>
      <c r="D177" s="13" t="s">
        <v>314</v>
      </c>
      <c r="E177" s="13" t="s">
        <v>123</v>
      </c>
      <c r="F177" s="26" t="s">
        <v>397</v>
      </c>
      <c r="G177" s="13" t="s">
        <v>487</v>
      </c>
    </row>
    <row r="178" spans="1:7" x14ac:dyDescent="0.3">
      <c r="A178" s="13">
        <v>117</v>
      </c>
      <c r="B178" s="13"/>
      <c r="C178" s="13" t="s">
        <v>303</v>
      </c>
      <c r="D178" s="13" t="s">
        <v>315</v>
      </c>
      <c r="E178" s="13" t="s">
        <v>124</v>
      </c>
      <c r="F178" s="26" t="s">
        <v>397</v>
      </c>
      <c r="G178" s="13" t="s">
        <v>487</v>
      </c>
    </row>
    <row r="179" spans="1:7" x14ac:dyDescent="0.3">
      <c r="A179" s="13">
        <v>118</v>
      </c>
      <c r="B179" s="13"/>
      <c r="C179" s="13" t="s">
        <v>316</v>
      </c>
      <c r="D179" s="13" t="s">
        <v>203</v>
      </c>
      <c r="E179" s="13" t="s">
        <v>125</v>
      </c>
      <c r="F179" s="26" t="s">
        <v>397</v>
      </c>
      <c r="G179" s="13" t="s">
        <v>487</v>
      </c>
    </row>
    <row r="180" spans="1:7" x14ac:dyDescent="0.3">
      <c r="A180" s="13">
        <v>119</v>
      </c>
      <c r="B180" s="13"/>
      <c r="C180" s="13" t="s">
        <v>316</v>
      </c>
      <c r="D180" s="13" t="s">
        <v>317</v>
      </c>
      <c r="E180" s="13" t="s">
        <v>126</v>
      </c>
      <c r="F180" s="26" t="s">
        <v>397</v>
      </c>
      <c r="G180" s="13" t="s">
        <v>487</v>
      </c>
    </row>
    <row r="181" spans="1:7" x14ac:dyDescent="0.3">
      <c r="A181" s="13">
        <v>120</v>
      </c>
      <c r="B181" s="13"/>
      <c r="C181" s="13" t="s">
        <v>316</v>
      </c>
      <c r="D181" s="13" t="s">
        <v>318</v>
      </c>
      <c r="E181" s="13" t="s">
        <v>127</v>
      </c>
      <c r="F181" s="26" t="s">
        <v>397</v>
      </c>
      <c r="G181" s="13" t="s">
        <v>487</v>
      </c>
    </row>
    <row r="182" spans="1:7" x14ac:dyDescent="0.3">
      <c r="A182" s="13">
        <v>121</v>
      </c>
      <c r="B182" s="13"/>
      <c r="C182" s="13" t="s">
        <v>316</v>
      </c>
      <c r="D182" s="13" t="s">
        <v>319</v>
      </c>
      <c r="E182" s="13" t="s">
        <v>128</v>
      </c>
      <c r="F182" s="26" t="s">
        <v>397</v>
      </c>
      <c r="G182" s="13" t="s">
        <v>487</v>
      </c>
    </row>
    <row r="183" spans="1:7" x14ac:dyDescent="0.3">
      <c r="A183" s="13">
        <v>122</v>
      </c>
      <c r="B183" s="13"/>
      <c r="C183" s="13" t="s">
        <v>316</v>
      </c>
      <c r="D183" s="13" t="s">
        <v>320</v>
      </c>
      <c r="E183" s="13" t="s">
        <v>129</v>
      </c>
      <c r="F183" s="26" t="s">
        <v>397</v>
      </c>
      <c r="G183" s="13" t="s">
        <v>487</v>
      </c>
    </row>
    <row r="184" spans="1:7" x14ac:dyDescent="0.3">
      <c r="A184" s="13">
        <v>123</v>
      </c>
      <c r="B184" s="13"/>
      <c r="C184" s="13" t="s">
        <v>316</v>
      </c>
      <c r="D184" s="13" t="s">
        <v>321</v>
      </c>
      <c r="E184" s="13" t="s">
        <v>130</v>
      </c>
      <c r="F184" s="26" t="s">
        <v>397</v>
      </c>
      <c r="G184" s="13" t="s">
        <v>487</v>
      </c>
    </row>
    <row r="185" spans="1:7" x14ac:dyDescent="0.3">
      <c r="A185" s="13">
        <v>124</v>
      </c>
      <c r="B185" s="13"/>
      <c r="C185" s="13" t="s">
        <v>316</v>
      </c>
      <c r="D185" s="13" t="s">
        <v>322</v>
      </c>
      <c r="E185" s="13" t="s">
        <v>131</v>
      </c>
      <c r="F185" s="26" t="s">
        <v>397</v>
      </c>
      <c r="G185" s="13" t="s">
        <v>487</v>
      </c>
    </row>
    <row r="186" spans="1:7" x14ac:dyDescent="0.3">
      <c r="A186" s="13">
        <v>125</v>
      </c>
      <c r="B186" s="13"/>
      <c r="C186" s="13" t="s">
        <v>316</v>
      </c>
      <c r="D186" s="13" t="s">
        <v>323</v>
      </c>
      <c r="E186" s="13" t="s">
        <v>132</v>
      </c>
      <c r="F186" s="26" t="s">
        <v>397</v>
      </c>
      <c r="G186" s="13" t="s">
        <v>487</v>
      </c>
    </row>
    <row r="187" spans="1:7" x14ac:dyDescent="0.3">
      <c r="A187" s="13">
        <v>126</v>
      </c>
      <c r="B187" s="13"/>
      <c r="C187" s="13" t="s">
        <v>316</v>
      </c>
      <c r="D187" s="13" t="s">
        <v>324</v>
      </c>
      <c r="E187" s="13" t="s">
        <v>133</v>
      </c>
      <c r="F187" s="26" t="s">
        <v>397</v>
      </c>
      <c r="G187" s="13" t="s">
        <v>487</v>
      </c>
    </row>
    <row r="188" spans="1:7" x14ac:dyDescent="0.3">
      <c r="A188" s="13">
        <v>127</v>
      </c>
      <c r="B188" s="13"/>
      <c r="C188" s="13" t="s">
        <v>316</v>
      </c>
      <c r="D188" s="13" t="s">
        <v>325</v>
      </c>
      <c r="E188" s="13" t="s">
        <v>134</v>
      </c>
      <c r="F188" s="26" t="s">
        <v>397</v>
      </c>
      <c r="G188" s="13" t="s">
        <v>487</v>
      </c>
    </row>
    <row r="189" spans="1:7" x14ac:dyDescent="0.3">
      <c r="A189" s="13">
        <v>128</v>
      </c>
      <c r="B189" s="13"/>
      <c r="C189" s="13" t="s">
        <v>316</v>
      </c>
      <c r="D189" s="13" t="s">
        <v>326</v>
      </c>
      <c r="E189" s="13" t="s">
        <v>135</v>
      </c>
      <c r="F189" s="26" t="s">
        <v>397</v>
      </c>
      <c r="G189" s="13" t="s">
        <v>487</v>
      </c>
    </row>
    <row r="190" spans="1:7" x14ac:dyDescent="0.3">
      <c r="A190" s="13">
        <v>129</v>
      </c>
      <c r="B190" s="13"/>
      <c r="C190" s="13" t="s">
        <v>316</v>
      </c>
      <c r="D190" s="13" t="s">
        <v>327</v>
      </c>
      <c r="E190" s="13" t="s">
        <v>136</v>
      </c>
      <c r="F190" s="26" t="s">
        <v>397</v>
      </c>
      <c r="G190" s="13" t="s">
        <v>487</v>
      </c>
    </row>
    <row r="191" spans="1:7" x14ac:dyDescent="0.3">
      <c r="A191" s="13">
        <v>130</v>
      </c>
      <c r="B191" s="13"/>
      <c r="C191" s="13" t="s">
        <v>316</v>
      </c>
      <c r="D191" s="13" t="s">
        <v>328</v>
      </c>
      <c r="E191" s="13" t="s">
        <v>137</v>
      </c>
      <c r="F191" s="26" t="s">
        <v>397</v>
      </c>
      <c r="G191" s="13" t="s">
        <v>487</v>
      </c>
    </row>
    <row r="192" spans="1:7" x14ac:dyDescent="0.3">
      <c r="A192" s="13">
        <v>131</v>
      </c>
      <c r="B192" s="13"/>
      <c r="C192" s="13" t="s">
        <v>329</v>
      </c>
      <c r="D192" s="13" t="s">
        <v>203</v>
      </c>
      <c r="E192" s="13" t="s">
        <v>138</v>
      </c>
      <c r="F192" s="26" t="s">
        <v>397</v>
      </c>
      <c r="G192" s="13" t="s">
        <v>487</v>
      </c>
    </row>
    <row r="193" spans="1:7" x14ac:dyDescent="0.3">
      <c r="A193" s="13">
        <v>132</v>
      </c>
      <c r="B193" s="13"/>
      <c r="C193" s="13" t="s">
        <v>329</v>
      </c>
      <c r="D193" s="13" t="s">
        <v>330</v>
      </c>
      <c r="E193" s="13" t="s">
        <v>139</v>
      </c>
      <c r="F193" s="26" t="s">
        <v>397</v>
      </c>
      <c r="G193" s="13" t="s">
        <v>487</v>
      </c>
    </row>
    <row r="194" spans="1:7" x14ac:dyDescent="0.3">
      <c r="A194" s="13">
        <v>133</v>
      </c>
      <c r="B194" s="13"/>
      <c r="C194" s="13" t="s">
        <v>329</v>
      </c>
      <c r="D194" s="13" t="s">
        <v>331</v>
      </c>
      <c r="E194" s="13" t="s">
        <v>140</v>
      </c>
      <c r="F194" s="26" t="s">
        <v>397</v>
      </c>
      <c r="G194" s="13" t="s">
        <v>487</v>
      </c>
    </row>
    <row r="195" spans="1:7" x14ac:dyDescent="0.3">
      <c r="A195" s="13">
        <v>134</v>
      </c>
      <c r="B195" s="13"/>
      <c r="C195" s="13" t="s">
        <v>329</v>
      </c>
      <c r="D195" s="13" t="s">
        <v>332</v>
      </c>
      <c r="E195" s="13" t="s">
        <v>141</v>
      </c>
      <c r="F195" s="26" t="s">
        <v>397</v>
      </c>
      <c r="G195" s="13" t="s">
        <v>487</v>
      </c>
    </row>
    <row r="196" spans="1:7" x14ac:dyDescent="0.3">
      <c r="A196" s="13">
        <v>135</v>
      </c>
      <c r="B196" s="13"/>
      <c r="C196" s="13" t="s">
        <v>329</v>
      </c>
      <c r="D196" s="13" t="s">
        <v>333</v>
      </c>
      <c r="E196" s="13" t="s">
        <v>142</v>
      </c>
      <c r="F196" s="26" t="s">
        <v>397</v>
      </c>
      <c r="G196" s="13" t="s">
        <v>487</v>
      </c>
    </row>
    <row r="197" spans="1:7" x14ac:dyDescent="0.3">
      <c r="A197" s="13">
        <v>136</v>
      </c>
      <c r="B197" s="13"/>
      <c r="C197" s="13" t="s">
        <v>329</v>
      </c>
      <c r="D197" s="13" t="s">
        <v>334</v>
      </c>
      <c r="E197" s="13" t="s">
        <v>143</v>
      </c>
      <c r="F197" s="26" t="s">
        <v>397</v>
      </c>
      <c r="G197" s="13" t="s">
        <v>487</v>
      </c>
    </row>
    <row r="198" spans="1:7" x14ac:dyDescent="0.3">
      <c r="A198" s="13">
        <v>137</v>
      </c>
      <c r="B198" s="13"/>
      <c r="C198" s="13" t="s">
        <v>329</v>
      </c>
      <c r="D198" s="13" t="s">
        <v>335</v>
      </c>
      <c r="E198" s="13" t="s">
        <v>144</v>
      </c>
      <c r="F198" s="26" t="s">
        <v>397</v>
      </c>
      <c r="G198" s="13" t="s">
        <v>487</v>
      </c>
    </row>
    <row r="199" spans="1:7" x14ac:dyDescent="0.3">
      <c r="A199" s="13">
        <v>138</v>
      </c>
      <c r="B199" s="13"/>
      <c r="C199" s="13" t="s">
        <v>329</v>
      </c>
      <c r="D199" s="13" t="s">
        <v>336</v>
      </c>
      <c r="E199" s="13" t="s">
        <v>145</v>
      </c>
      <c r="F199" s="26" t="s">
        <v>397</v>
      </c>
      <c r="G199" s="13" t="s">
        <v>487</v>
      </c>
    </row>
    <row r="200" spans="1:7" x14ac:dyDescent="0.3">
      <c r="A200" s="13">
        <v>139</v>
      </c>
      <c r="B200" s="13"/>
      <c r="C200" s="13" t="s">
        <v>329</v>
      </c>
      <c r="D200" s="13" t="s">
        <v>337</v>
      </c>
      <c r="E200" s="13" t="s">
        <v>146</v>
      </c>
      <c r="F200" s="26" t="s">
        <v>397</v>
      </c>
      <c r="G200" s="13" t="s">
        <v>487</v>
      </c>
    </row>
    <row r="201" spans="1:7" x14ac:dyDescent="0.3">
      <c r="A201" s="13">
        <v>140</v>
      </c>
      <c r="B201" s="13"/>
      <c r="C201" s="13" t="s">
        <v>329</v>
      </c>
      <c r="D201" s="13" t="s">
        <v>338</v>
      </c>
      <c r="E201" s="13" t="s">
        <v>147</v>
      </c>
      <c r="F201" s="26" t="s">
        <v>397</v>
      </c>
      <c r="G201" s="13" t="s">
        <v>487</v>
      </c>
    </row>
    <row r="202" spans="1:7" x14ac:dyDescent="0.3">
      <c r="A202" s="13">
        <v>141</v>
      </c>
      <c r="B202" s="13"/>
      <c r="C202" s="13" t="s">
        <v>329</v>
      </c>
      <c r="D202" s="13" t="s">
        <v>339</v>
      </c>
      <c r="E202" s="13" t="s">
        <v>148</v>
      </c>
      <c r="F202" s="26" t="s">
        <v>397</v>
      </c>
      <c r="G202" s="13" t="s">
        <v>487</v>
      </c>
    </row>
    <row r="203" spans="1:7" x14ac:dyDescent="0.3">
      <c r="A203" s="13">
        <v>142</v>
      </c>
      <c r="B203" s="13"/>
      <c r="C203" s="13" t="s">
        <v>329</v>
      </c>
      <c r="D203" s="13" t="s">
        <v>340</v>
      </c>
      <c r="E203" s="13" t="s">
        <v>149</v>
      </c>
      <c r="F203" s="26" t="s">
        <v>397</v>
      </c>
      <c r="G203" s="13" t="s">
        <v>487</v>
      </c>
    </row>
    <row r="204" spans="1:7" x14ac:dyDescent="0.3">
      <c r="A204" s="13">
        <v>143</v>
      </c>
      <c r="B204" s="13"/>
      <c r="C204" s="13" t="s">
        <v>329</v>
      </c>
      <c r="D204" s="13" t="s">
        <v>341</v>
      </c>
      <c r="E204" s="13" t="s">
        <v>150</v>
      </c>
      <c r="F204" s="26" t="s">
        <v>397</v>
      </c>
      <c r="G204" s="13" t="s">
        <v>487</v>
      </c>
    </row>
    <row r="205" spans="1:7" x14ac:dyDescent="0.3">
      <c r="A205" s="13">
        <v>144</v>
      </c>
      <c r="B205" s="13"/>
      <c r="C205" s="13" t="s">
        <v>342</v>
      </c>
      <c r="D205" s="13" t="s">
        <v>203</v>
      </c>
      <c r="E205" s="13" t="s">
        <v>151</v>
      </c>
      <c r="F205" s="26" t="s">
        <v>397</v>
      </c>
      <c r="G205" s="13" t="s">
        <v>487</v>
      </c>
    </row>
    <row r="206" spans="1:7" x14ac:dyDescent="0.3">
      <c r="A206" s="13">
        <v>145</v>
      </c>
      <c r="B206" s="13"/>
      <c r="C206" s="13" t="s">
        <v>342</v>
      </c>
      <c r="D206" s="13" t="s">
        <v>343</v>
      </c>
      <c r="E206" s="13" t="s">
        <v>152</v>
      </c>
      <c r="F206" s="26" t="s">
        <v>397</v>
      </c>
      <c r="G206" s="13" t="s">
        <v>487</v>
      </c>
    </row>
    <row r="207" spans="1:7" x14ac:dyDescent="0.3">
      <c r="A207" s="13">
        <v>146</v>
      </c>
      <c r="B207" s="13"/>
      <c r="C207" s="13" t="s">
        <v>342</v>
      </c>
      <c r="D207" s="13" t="s">
        <v>344</v>
      </c>
      <c r="E207" s="13" t="s">
        <v>153</v>
      </c>
      <c r="F207" s="26" t="s">
        <v>397</v>
      </c>
      <c r="G207" s="13" t="s">
        <v>487</v>
      </c>
    </row>
    <row r="208" spans="1:7" x14ac:dyDescent="0.3">
      <c r="A208" s="13">
        <v>147</v>
      </c>
      <c r="B208" s="13"/>
      <c r="C208" s="13" t="s">
        <v>342</v>
      </c>
      <c r="D208" s="13" t="s">
        <v>345</v>
      </c>
      <c r="E208" s="13" t="s">
        <v>154</v>
      </c>
      <c r="F208" s="26" t="s">
        <v>397</v>
      </c>
      <c r="G208" s="13" t="s">
        <v>487</v>
      </c>
    </row>
    <row r="209" spans="1:7" x14ac:dyDescent="0.3">
      <c r="A209" s="13">
        <v>148</v>
      </c>
      <c r="B209" s="13"/>
      <c r="C209" s="13" t="s">
        <v>342</v>
      </c>
      <c r="D209" s="13" t="s">
        <v>346</v>
      </c>
      <c r="E209" s="13" t="s">
        <v>155</v>
      </c>
      <c r="F209" s="26" t="s">
        <v>397</v>
      </c>
      <c r="G209" s="13" t="s">
        <v>487</v>
      </c>
    </row>
    <row r="210" spans="1:7" x14ac:dyDescent="0.3">
      <c r="A210" s="13">
        <v>149</v>
      </c>
      <c r="B210" s="13"/>
      <c r="C210" s="13" t="s">
        <v>342</v>
      </c>
      <c r="D210" s="13" t="s">
        <v>347</v>
      </c>
      <c r="E210" s="13" t="s">
        <v>156</v>
      </c>
      <c r="F210" s="26" t="s">
        <v>397</v>
      </c>
      <c r="G210" s="13" t="s">
        <v>487</v>
      </c>
    </row>
    <row r="211" spans="1:7" x14ac:dyDescent="0.3">
      <c r="A211" s="13">
        <v>150</v>
      </c>
      <c r="B211" s="13"/>
      <c r="C211" s="13" t="s">
        <v>342</v>
      </c>
      <c r="D211" s="13" t="s">
        <v>348</v>
      </c>
      <c r="E211" s="13" t="s">
        <v>157</v>
      </c>
      <c r="F211" s="26" t="s">
        <v>397</v>
      </c>
      <c r="G211" s="13" t="s">
        <v>487</v>
      </c>
    </row>
    <row r="212" spans="1:7" x14ac:dyDescent="0.3">
      <c r="A212" s="13">
        <v>151</v>
      </c>
      <c r="B212" s="13"/>
      <c r="C212" s="13" t="s">
        <v>342</v>
      </c>
      <c r="D212" s="13" t="s">
        <v>349</v>
      </c>
      <c r="E212" s="13" t="s">
        <v>158</v>
      </c>
      <c r="F212" s="26" t="s">
        <v>397</v>
      </c>
      <c r="G212" s="13" t="s">
        <v>487</v>
      </c>
    </row>
    <row r="213" spans="1:7" x14ac:dyDescent="0.3">
      <c r="A213" s="13">
        <v>152</v>
      </c>
      <c r="B213" s="13"/>
      <c r="C213" s="13" t="s">
        <v>342</v>
      </c>
      <c r="D213" s="13" t="s">
        <v>350</v>
      </c>
      <c r="E213" s="13" t="s">
        <v>159</v>
      </c>
      <c r="F213" s="26" t="s">
        <v>397</v>
      </c>
      <c r="G213" s="13" t="s">
        <v>487</v>
      </c>
    </row>
    <row r="214" spans="1:7" x14ac:dyDescent="0.3">
      <c r="A214" s="13">
        <v>153</v>
      </c>
      <c r="B214" s="13"/>
      <c r="C214" s="13" t="s">
        <v>342</v>
      </c>
      <c r="D214" s="13" t="s">
        <v>351</v>
      </c>
      <c r="E214" s="13" t="s">
        <v>160</v>
      </c>
      <c r="F214" s="26" t="s">
        <v>397</v>
      </c>
      <c r="G214" s="13" t="s">
        <v>487</v>
      </c>
    </row>
    <row r="215" spans="1:7" x14ac:dyDescent="0.3">
      <c r="A215" s="13">
        <v>154</v>
      </c>
      <c r="B215" s="13"/>
      <c r="C215" s="13" t="s">
        <v>342</v>
      </c>
      <c r="D215" s="13" t="s">
        <v>352</v>
      </c>
      <c r="E215" s="13" t="s">
        <v>161</v>
      </c>
      <c r="F215" s="26" t="s">
        <v>397</v>
      </c>
      <c r="G215" s="13" t="s">
        <v>487</v>
      </c>
    </row>
    <row r="216" spans="1:7" x14ac:dyDescent="0.3">
      <c r="A216" s="13">
        <v>155</v>
      </c>
      <c r="B216" s="13"/>
      <c r="C216" s="13" t="s">
        <v>342</v>
      </c>
      <c r="D216" s="13" t="s">
        <v>353</v>
      </c>
      <c r="E216" s="13" t="s">
        <v>162</v>
      </c>
      <c r="F216" s="26" t="s">
        <v>397</v>
      </c>
      <c r="G216" s="13" t="s">
        <v>487</v>
      </c>
    </row>
    <row r="217" spans="1:7" x14ac:dyDescent="0.3">
      <c r="A217" s="13">
        <v>156</v>
      </c>
      <c r="B217" s="13"/>
      <c r="C217" s="13" t="s">
        <v>342</v>
      </c>
      <c r="D217" s="13" t="s">
        <v>354</v>
      </c>
      <c r="E217" s="13" t="s">
        <v>163</v>
      </c>
      <c r="F217" s="26" t="s">
        <v>397</v>
      </c>
      <c r="G217" s="13" t="s">
        <v>487</v>
      </c>
    </row>
    <row r="218" spans="1:7" x14ac:dyDescent="0.3">
      <c r="A218" s="13">
        <v>157</v>
      </c>
      <c r="B218" s="13"/>
      <c r="C218" s="13" t="s">
        <v>355</v>
      </c>
      <c r="D218" s="13" t="s">
        <v>203</v>
      </c>
      <c r="E218" s="13" t="s">
        <v>164</v>
      </c>
      <c r="F218" s="26" t="s">
        <v>397</v>
      </c>
      <c r="G218" s="13" t="s">
        <v>487</v>
      </c>
    </row>
    <row r="219" spans="1:7" x14ac:dyDescent="0.3">
      <c r="A219" s="13">
        <v>158</v>
      </c>
      <c r="B219" s="13"/>
      <c r="C219" s="13" t="s">
        <v>355</v>
      </c>
      <c r="D219" s="13" t="s">
        <v>356</v>
      </c>
      <c r="E219" s="13" t="s">
        <v>165</v>
      </c>
      <c r="F219" s="26" t="s">
        <v>397</v>
      </c>
      <c r="G219" s="13" t="s">
        <v>487</v>
      </c>
    </row>
    <row r="220" spans="1:7" x14ac:dyDescent="0.3">
      <c r="A220" s="13">
        <v>159</v>
      </c>
      <c r="B220" s="13"/>
      <c r="C220" s="13" t="s">
        <v>355</v>
      </c>
      <c r="D220" s="13" t="s">
        <v>357</v>
      </c>
      <c r="E220" s="13" t="s">
        <v>166</v>
      </c>
      <c r="F220" s="26" t="s">
        <v>397</v>
      </c>
      <c r="G220" s="13" t="s">
        <v>487</v>
      </c>
    </row>
    <row r="221" spans="1:7" x14ac:dyDescent="0.3">
      <c r="A221" s="13">
        <v>160</v>
      </c>
      <c r="B221" s="13"/>
      <c r="C221" s="13" t="s">
        <v>355</v>
      </c>
      <c r="D221" s="13" t="s">
        <v>358</v>
      </c>
      <c r="E221" s="13" t="s">
        <v>167</v>
      </c>
      <c r="F221" s="26" t="s">
        <v>397</v>
      </c>
      <c r="G221" s="13" t="s">
        <v>487</v>
      </c>
    </row>
    <row r="222" spans="1:7" x14ac:dyDescent="0.3">
      <c r="A222" s="13">
        <v>161</v>
      </c>
      <c r="B222" s="13"/>
      <c r="C222" s="13" t="s">
        <v>355</v>
      </c>
      <c r="D222" s="13" t="s">
        <v>359</v>
      </c>
      <c r="E222" s="13" t="s">
        <v>168</v>
      </c>
      <c r="F222" s="26" t="s">
        <v>397</v>
      </c>
      <c r="G222" s="13" t="s">
        <v>487</v>
      </c>
    </row>
    <row r="223" spans="1:7" x14ac:dyDescent="0.3">
      <c r="A223" s="13">
        <v>162</v>
      </c>
      <c r="B223" s="13"/>
      <c r="C223" s="13" t="s">
        <v>355</v>
      </c>
      <c r="D223" s="13" t="s">
        <v>360</v>
      </c>
      <c r="E223" s="13" t="s">
        <v>169</v>
      </c>
      <c r="F223" s="26" t="s">
        <v>397</v>
      </c>
      <c r="G223" s="13" t="s">
        <v>487</v>
      </c>
    </row>
    <row r="224" spans="1:7" x14ac:dyDescent="0.3">
      <c r="A224" s="13">
        <v>163</v>
      </c>
      <c r="B224" s="13"/>
      <c r="C224" s="13" t="s">
        <v>355</v>
      </c>
      <c r="D224" s="13" t="s">
        <v>361</v>
      </c>
      <c r="E224" s="13" t="s">
        <v>170</v>
      </c>
      <c r="F224" s="26" t="s">
        <v>397</v>
      </c>
      <c r="G224" s="13" t="s">
        <v>487</v>
      </c>
    </row>
    <row r="225" spans="1:7" x14ac:dyDescent="0.3">
      <c r="A225" s="13">
        <v>164</v>
      </c>
      <c r="B225" s="13"/>
      <c r="C225" s="13" t="s">
        <v>355</v>
      </c>
      <c r="D225" s="13" t="s">
        <v>362</v>
      </c>
      <c r="E225" s="13" t="s">
        <v>171</v>
      </c>
      <c r="F225" s="26" t="s">
        <v>397</v>
      </c>
      <c r="G225" s="13" t="s">
        <v>487</v>
      </c>
    </row>
    <row r="226" spans="1:7" x14ac:dyDescent="0.3">
      <c r="A226" s="13">
        <v>165</v>
      </c>
      <c r="B226" s="13"/>
      <c r="C226" s="13" t="s">
        <v>355</v>
      </c>
      <c r="D226" s="13" t="s">
        <v>363</v>
      </c>
      <c r="E226" s="13" t="s">
        <v>172</v>
      </c>
      <c r="F226" s="26" t="s">
        <v>397</v>
      </c>
      <c r="G226" s="13" t="s">
        <v>487</v>
      </c>
    </row>
    <row r="227" spans="1:7" x14ac:dyDescent="0.3">
      <c r="A227" s="13">
        <v>166</v>
      </c>
      <c r="B227" s="13"/>
      <c r="C227" s="13" t="s">
        <v>355</v>
      </c>
      <c r="D227" s="13" t="s">
        <v>364</v>
      </c>
      <c r="E227" s="13" t="s">
        <v>173</v>
      </c>
      <c r="F227" s="26" t="s">
        <v>397</v>
      </c>
      <c r="G227" s="13" t="s">
        <v>487</v>
      </c>
    </row>
    <row r="228" spans="1:7" x14ac:dyDescent="0.3">
      <c r="A228" s="13">
        <v>167</v>
      </c>
      <c r="B228" s="13"/>
      <c r="C228" s="13" t="s">
        <v>355</v>
      </c>
      <c r="D228" s="13" t="s">
        <v>365</v>
      </c>
      <c r="E228" s="13" t="s">
        <v>174</v>
      </c>
      <c r="F228" s="26" t="s">
        <v>397</v>
      </c>
      <c r="G228" s="13" t="s">
        <v>487</v>
      </c>
    </row>
    <row r="229" spans="1:7" x14ac:dyDescent="0.3">
      <c r="A229" s="13">
        <v>168</v>
      </c>
      <c r="B229" s="13"/>
      <c r="C229" s="13" t="s">
        <v>355</v>
      </c>
      <c r="D229" s="13" t="s">
        <v>366</v>
      </c>
      <c r="E229" s="13" t="s">
        <v>175</v>
      </c>
      <c r="F229" s="26" t="s">
        <v>397</v>
      </c>
      <c r="G229" s="13" t="s">
        <v>487</v>
      </c>
    </row>
    <row r="230" spans="1:7" x14ac:dyDescent="0.3">
      <c r="A230" s="13">
        <v>169</v>
      </c>
      <c r="B230" s="13"/>
      <c r="C230" s="13" t="s">
        <v>355</v>
      </c>
      <c r="D230" s="13" t="s">
        <v>367</v>
      </c>
      <c r="E230" s="13" t="s">
        <v>176</v>
      </c>
      <c r="F230" s="26" t="s">
        <v>397</v>
      </c>
      <c r="G230" s="13" t="s">
        <v>487</v>
      </c>
    </row>
    <row r="231" spans="1:7" x14ac:dyDescent="0.3">
      <c r="A231" s="13">
        <v>170</v>
      </c>
      <c r="B231" s="13"/>
      <c r="C231" s="13" t="s">
        <v>368</v>
      </c>
      <c r="D231" s="13" t="s">
        <v>203</v>
      </c>
      <c r="E231" s="13" t="s">
        <v>177</v>
      </c>
      <c r="F231" s="26" t="s">
        <v>397</v>
      </c>
      <c r="G231" s="13" t="s">
        <v>487</v>
      </c>
    </row>
    <row r="232" spans="1:7" x14ac:dyDescent="0.3">
      <c r="A232" s="13">
        <v>171</v>
      </c>
      <c r="B232" s="13"/>
      <c r="C232" s="13" t="s">
        <v>368</v>
      </c>
      <c r="D232" s="13" t="s">
        <v>369</v>
      </c>
      <c r="E232" s="13" t="s">
        <v>178</v>
      </c>
      <c r="F232" s="26" t="s">
        <v>397</v>
      </c>
      <c r="G232" s="13" t="s">
        <v>487</v>
      </c>
    </row>
    <row r="233" spans="1:7" x14ac:dyDescent="0.3">
      <c r="A233" s="13">
        <v>172</v>
      </c>
      <c r="B233" s="13"/>
      <c r="C233" s="13" t="s">
        <v>368</v>
      </c>
      <c r="D233" s="13" t="s">
        <v>370</v>
      </c>
      <c r="E233" s="13" t="s">
        <v>179</v>
      </c>
      <c r="F233" s="26" t="s">
        <v>397</v>
      </c>
      <c r="G233" s="13" t="s">
        <v>487</v>
      </c>
    </row>
    <row r="234" spans="1:7" x14ac:dyDescent="0.3">
      <c r="A234" s="13">
        <v>173</v>
      </c>
      <c r="B234" s="13"/>
      <c r="C234" s="13" t="s">
        <v>368</v>
      </c>
      <c r="D234" s="13" t="s">
        <v>371</v>
      </c>
      <c r="E234" s="13" t="s">
        <v>180</v>
      </c>
      <c r="F234" s="26" t="s">
        <v>397</v>
      </c>
      <c r="G234" s="13" t="s">
        <v>487</v>
      </c>
    </row>
    <row r="235" spans="1:7" x14ac:dyDescent="0.3">
      <c r="A235" s="13">
        <v>174</v>
      </c>
      <c r="B235" s="13"/>
      <c r="C235" s="13" t="s">
        <v>368</v>
      </c>
      <c r="D235" s="13" t="s">
        <v>372</v>
      </c>
      <c r="E235" s="13" t="s">
        <v>181</v>
      </c>
      <c r="F235" s="26" t="s">
        <v>397</v>
      </c>
      <c r="G235" s="13" t="s">
        <v>487</v>
      </c>
    </row>
    <row r="236" spans="1:7" x14ac:dyDescent="0.3">
      <c r="A236" s="13">
        <v>175</v>
      </c>
      <c r="B236" s="13"/>
      <c r="C236" s="13" t="s">
        <v>368</v>
      </c>
      <c r="D236" s="13" t="s">
        <v>373</v>
      </c>
      <c r="E236" s="13" t="s">
        <v>182</v>
      </c>
      <c r="F236" s="26" t="s">
        <v>397</v>
      </c>
      <c r="G236" s="13" t="s">
        <v>487</v>
      </c>
    </row>
    <row r="237" spans="1:7" x14ac:dyDescent="0.3">
      <c r="A237" s="13">
        <v>176</v>
      </c>
      <c r="B237" s="13"/>
      <c r="C237" s="13" t="s">
        <v>368</v>
      </c>
      <c r="D237" s="13" t="s">
        <v>374</v>
      </c>
      <c r="E237" s="13" t="s">
        <v>183</v>
      </c>
      <c r="F237" s="26" t="s">
        <v>397</v>
      </c>
      <c r="G237" s="13" t="s">
        <v>487</v>
      </c>
    </row>
    <row r="238" spans="1:7" x14ac:dyDescent="0.3">
      <c r="A238" s="13">
        <v>177</v>
      </c>
      <c r="B238" s="13"/>
      <c r="C238" s="13" t="s">
        <v>368</v>
      </c>
      <c r="D238" s="13" t="s">
        <v>375</v>
      </c>
      <c r="E238" s="13" t="s">
        <v>184</v>
      </c>
      <c r="F238" s="26" t="s">
        <v>397</v>
      </c>
      <c r="G238" s="13" t="s">
        <v>487</v>
      </c>
    </row>
    <row r="239" spans="1:7" x14ac:dyDescent="0.3">
      <c r="A239" s="13">
        <v>178</v>
      </c>
      <c r="B239" s="13"/>
      <c r="C239" s="13" t="s">
        <v>368</v>
      </c>
      <c r="D239" s="13" t="s">
        <v>376</v>
      </c>
      <c r="E239" s="13" t="s">
        <v>185</v>
      </c>
      <c r="F239" s="26" t="s">
        <v>397</v>
      </c>
      <c r="G239" s="13" t="s">
        <v>487</v>
      </c>
    </row>
    <row r="240" spans="1:7" x14ac:dyDescent="0.3">
      <c r="A240" s="13">
        <v>179</v>
      </c>
      <c r="B240" s="13"/>
      <c r="C240" s="13" t="s">
        <v>368</v>
      </c>
      <c r="D240" s="13" t="s">
        <v>377</v>
      </c>
      <c r="E240" s="13" t="s">
        <v>186</v>
      </c>
      <c r="F240" s="26" t="s">
        <v>397</v>
      </c>
      <c r="G240" s="13" t="s">
        <v>487</v>
      </c>
    </row>
    <row r="241" spans="1:7" x14ac:dyDescent="0.3">
      <c r="A241" s="13">
        <v>180</v>
      </c>
      <c r="B241" s="13"/>
      <c r="C241" s="13" t="s">
        <v>368</v>
      </c>
      <c r="D241" s="13" t="s">
        <v>378</v>
      </c>
      <c r="E241" s="13" t="s">
        <v>187</v>
      </c>
      <c r="F241" s="26" t="s">
        <v>397</v>
      </c>
      <c r="G241" s="13" t="s">
        <v>487</v>
      </c>
    </row>
    <row r="242" spans="1:7" x14ac:dyDescent="0.3">
      <c r="A242" s="13">
        <v>181</v>
      </c>
      <c r="B242" s="13"/>
      <c r="C242" s="13" t="s">
        <v>368</v>
      </c>
      <c r="D242" s="13" t="s">
        <v>379</v>
      </c>
      <c r="E242" s="13" t="s">
        <v>188</v>
      </c>
      <c r="F242" s="26" t="s">
        <v>397</v>
      </c>
      <c r="G242" s="13" t="s">
        <v>487</v>
      </c>
    </row>
    <row r="243" spans="1:7" x14ac:dyDescent="0.3">
      <c r="A243" s="13">
        <v>182</v>
      </c>
      <c r="B243" s="13"/>
      <c r="C243" s="13" t="s">
        <v>368</v>
      </c>
      <c r="D243" s="13" t="s">
        <v>380</v>
      </c>
      <c r="E243" s="13" t="s">
        <v>189</v>
      </c>
      <c r="F243" s="26" t="s">
        <v>397</v>
      </c>
      <c r="G243" s="13" t="s">
        <v>487</v>
      </c>
    </row>
    <row r="244" spans="1:7" x14ac:dyDescent="0.3">
      <c r="A244" s="13">
        <v>185</v>
      </c>
      <c r="B244" s="13"/>
      <c r="C244" s="13" t="s">
        <v>383</v>
      </c>
      <c r="D244" s="13" t="s">
        <v>216</v>
      </c>
      <c r="E244" s="13" t="s">
        <v>192</v>
      </c>
      <c r="F244" s="26" t="s">
        <v>397</v>
      </c>
      <c r="G244" s="13" t="s">
        <v>488</v>
      </c>
    </row>
    <row r="245" spans="1:7" x14ac:dyDescent="0.3">
      <c r="A245" s="13">
        <v>186</v>
      </c>
      <c r="B245" s="13"/>
      <c r="C245" s="13" t="s">
        <v>384</v>
      </c>
      <c r="D245" s="13" t="s">
        <v>216</v>
      </c>
      <c r="E245" s="13" t="s">
        <v>193</v>
      </c>
      <c r="F245" s="26" t="s">
        <v>397</v>
      </c>
      <c r="G245" s="13" t="s">
        <v>488</v>
      </c>
    </row>
    <row r="246" spans="1:7" x14ac:dyDescent="0.3">
      <c r="A246" s="13">
        <v>187</v>
      </c>
      <c r="B246" s="13"/>
      <c r="C246" s="13" t="s">
        <v>385</v>
      </c>
      <c r="D246" s="13" t="s">
        <v>216</v>
      </c>
      <c r="E246" s="13" t="s">
        <v>194</v>
      </c>
      <c r="F246" s="26" t="s">
        <v>397</v>
      </c>
      <c r="G246" s="13" t="s">
        <v>488</v>
      </c>
    </row>
  </sheetData>
  <autoFilter ref="A2:J246">
    <sortState ref="A3:J761">
      <sortCondition ref="A2:A197"/>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Z177"/>
  <sheetViews>
    <sheetView topLeftCell="A64" zoomScale="85" zoomScaleNormal="85" workbookViewId="0">
      <selection activeCell="F71" sqref="F71:F90"/>
    </sheetView>
  </sheetViews>
  <sheetFormatPr defaultColWidth="9.109375" defaultRowHeight="14.4" x14ac:dyDescent="0.3"/>
  <cols>
    <col min="1" max="1" width="14.88671875" style="16" customWidth="1"/>
    <col min="2" max="2" width="8.44140625" style="16" bestFit="1" customWidth="1"/>
    <col min="3" max="3" width="6.109375" style="16" bestFit="1" customWidth="1"/>
    <col min="4" max="4" width="19.33203125" style="16" bestFit="1" customWidth="1"/>
    <col min="5" max="6" width="11.6640625" style="16" bestFit="1" customWidth="1"/>
    <col min="7" max="8" width="14.5546875" style="16" bestFit="1" customWidth="1"/>
    <col min="9" max="9" width="6" style="16" bestFit="1" customWidth="1"/>
    <col min="10" max="10" width="5.44140625" style="16" customWidth="1"/>
    <col min="11" max="11" width="5" style="16" bestFit="1" customWidth="1"/>
    <col min="12" max="12" width="4.88671875" style="16" bestFit="1" customWidth="1"/>
    <col min="13" max="14" width="5.109375" style="16" customWidth="1"/>
    <col min="15" max="15" width="5.33203125" style="16" customWidth="1"/>
    <col min="16" max="16" width="5.88671875" style="16" customWidth="1"/>
    <col min="17" max="17" width="5.6640625" style="16" customWidth="1"/>
    <col min="18" max="18" width="6.109375" style="16" customWidth="1"/>
    <col min="19" max="19" width="5.88671875" style="16" customWidth="1"/>
    <col min="20" max="21" width="6.109375" style="16" customWidth="1"/>
    <col min="22" max="22" width="5.88671875" style="16" customWidth="1"/>
    <col min="23" max="23" width="6.33203125" style="16" customWidth="1"/>
    <col min="24" max="24" width="5.44140625" style="16" customWidth="1"/>
    <col min="25" max="25" width="6" style="16" customWidth="1"/>
    <col min="26" max="31" width="9.109375" style="16"/>
    <col min="32" max="32" width="14.44140625" style="16" customWidth="1"/>
    <col min="33" max="16384" width="9.109375" style="16"/>
  </cols>
  <sheetData>
    <row r="2" spans="1:25" ht="28.8" x14ac:dyDescent="0.3">
      <c r="A2" s="14" t="s">
        <v>386</v>
      </c>
      <c r="B2" s="15" t="s">
        <v>389</v>
      </c>
      <c r="C2" s="14"/>
      <c r="D2" s="14" t="s">
        <v>529</v>
      </c>
      <c r="E2" s="14" t="s">
        <v>547</v>
      </c>
      <c r="F2" s="14"/>
      <c r="G2" s="15" t="s">
        <v>390</v>
      </c>
      <c r="H2" s="15" t="s">
        <v>391</v>
      </c>
      <c r="I2" s="14"/>
      <c r="J2" s="14">
        <v>15</v>
      </c>
      <c r="K2" s="14">
        <v>14</v>
      </c>
      <c r="L2" s="14">
        <v>13</v>
      </c>
      <c r="M2" s="14">
        <v>12</v>
      </c>
      <c r="N2" s="14">
        <v>11</v>
      </c>
      <c r="O2" s="14">
        <v>10</v>
      </c>
      <c r="P2" s="14">
        <v>9</v>
      </c>
      <c r="Q2" s="14">
        <v>8</v>
      </c>
      <c r="R2" s="14">
        <v>7</v>
      </c>
      <c r="S2" s="14">
        <v>6</v>
      </c>
      <c r="T2" s="14">
        <v>5</v>
      </c>
      <c r="U2" s="14">
        <v>4</v>
      </c>
      <c r="V2" s="14">
        <v>3</v>
      </c>
      <c r="W2" s="14">
        <v>2</v>
      </c>
      <c r="X2" s="14">
        <v>1</v>
      </c>
      <c r="Y2" s="14">
        <v>0</v>
      </c>
    </row>
    <row r="3" spans="1:25" x14ac:dyDescent="0.3">
      <c r="A3" s="17" t="s">
        <v>517</v>
      </c>
      <c r="B3" s="17">
        <v>16</v>
      </c>
      <c r="E3" s="16" t="s">
        <v>536</v>
      </c>
      <c r="G3" s="16">
        <f>B3</f>
        <v>16</v>
      </c>
      <c r="H3" s="16" t="str">
        <f>DEC2HEX(G3,4)</f>
        <v>0010</v>
      </c>
      <c r="J3" s="16">
        <f t="shared" ref="J3" si="0">MOD(INT(G3/2^$J$2),2)</f>
        <v>0</v>
      </c>
      <c r="K3" s="16">
        <f t="shared" ref="K3" si="1">MOD(INT(G3/2^$K$2),2)</f>
        <v>0</v>
      </c>
      <c r="L3" s="16">
        <f t="shared" ref="L3" si="2">MOD(INT(G3/2^$L$2),2)</f>
        <v>0</v>
      </c>
      <c r="M3" s="16">
        <f t="shared" ref="M3" si="3">MOD(INT(G3/2^$M$2),2)</f>
        <v>0</v>
      </c>
      <c r="N3" s="16">
        <f t="shared" ref="N3" si="4">MOD(INT(G3/2^$N$2),2)</f>
        <v>0</v>
      </c>
      <c r="O3" s="16">
        <f t="shared" ref="O3" si="5">MOD(INT(G3/2^$O$2),2)</f>
        <v>0</v>
      </c>
      <c r="P3" s="16">
        <f t="shared" ref="P3" si="6">MOD(INT(G3/2^$P$2),2)</f>
        <v>0</v>
      </c>
      <c r="Q3" s="16">
        <f t="shared" ref="Q3" si="7">MOD(INT(G3/2^$Q$2),2)</f>
        <v>0</v>
      </c>
      <c r="R3" s="16">
        <f t="shared" ref="R3" si="8">MOD(INT(G3/2^$R$2),2)</f>
        <v>0</v>
      </c>
      <c r="S3" s="16">
        <f t="shared" ref="S3" si="9">MOD(INT(G3/2^$S$2),2)</f>
        <v>0</v>
      </c>
      <c r="T3" s="16">
        <f t="shared" ref="T3" si="10">MOD(INT(G3/2^$T$2),2)</f>
        <v>0</v>
      </c>
      <c r="U3" s="16">
        <f t="shared" ref="U3" si="11">MOD(INT(G3/2^$U$2),2)</f>
        <v>1</v>
      </c>
      <c r="V3" s="16">
        <f t="shared" ref="V3" si="12">MOD(INT(G3/2^$V$2),2)</f>
        <v>0</v>
      </c>
      <c r="W3" s="16">
        <f t="shared" ref="W3" si="13">MOD(INT(G3/2^$W$2),2)</f>
        <v>0</v>
      </c>
      <c r="X3" s="16">
        <f t="shared" ref="X3" si="14">MOD(INT(G3/2^$X$2),2)</f>
        <v>0</v>
      </c>
      <c r="Y3" s="16">
        <f t="shared" ref="Y3" si="15">MOD(INT(G3/2^$Y$2),2)</f>
        <v>0</v>
      </c>
    </row>
    <row r="4" spans="1:25" x14ac:dyDescent="0.3">
      <c r="A4" s="16" t="s">
        <v>518</v>
      </c>
      <c r="B4" s="16">
        <v>228</v>
      </c>
      <c r="E4" s="16" t="s">
        <v>536</v>
      </c>
      <c r="G4" s="16">
        <f t="shared" ref="G4:G22" si="16">B4</f>
        <v>228</v>
      </c>
      <c r="H4" s="16" t="str">
        <f t="shared" ref="H4:H22" si="17">DEC2HEX(G4,4)</f>
        <v>00E4</v>
      </c>
      <c r="J4" s="16">
        <f t="shared" ref="J4:J22" si="18">MOD(INT(G4/2^$J$2),2)</f>
        <v>0</v>
      </c>
      <c r="K4" s="16">
        <f t="shared" ref="K4:K22" si="19">MOD(INT(G4/2^$K$2),2)</f>
        <v>0</v>
      </c>
      <c r="L4" s="16">
        <f t="shared" ref="L4:L22" si="20">MOD(INT(G4/2^$L$2),2)</f>
        <v>0</v>
      </c>
      <c r="M4" s="16">
        <f t="shared" ref="M4:M22" si="21">MOD(INT(G4/2^$M$2),2)</f>
        <v>0</v>
      </c>
      <c r="N4" s="16">
        <f t="shared" ref="N4:N22" si="22">MOD(INT(G4/2^$N$2),2)</f>
        <v>0</v>
      </c>
      <c r="O4" s="16">
        <f t="shared" ref="O4:O22" si="23">MOD(INT(G4/2^$O$2),2)</f>
        <v>0</v>
      </c>
      <c r="P4" s="16">
        <f t="shared" ref="P4:P22" si="24">MOD(INT(G4/2^$P$2),2)</f>
        <v>0</v>
      </c>
      <c r="Q4" s="16">
        <f t="shared" ref="Q4:Q22" si="25">MOD(INT(G4/2^$Q$2),2)</f>
        <v>0</v>
      </c>
      <c r="R4" s="16">
        <f t="shared" ref="R4:R22" si="26">MOD(INT(G4/2^$R$2),2)</f>
        <v>1</v>
      </c>
      <c r="S4" s="16">
        <f t="shared" ref="S4:S22" si="27">MOD(INT(G4/2^$S$2),2)</f>
        <v>1</v>
      </c>
      <c r="T4" s="16">
        <f t="shared" ref="T4:T22" si="28">MOD(INT(G4/2^$T$2),2)</f>
        <v>1</v>
      </c>
      <c r="U4" s="16">
        <f t="shared" ref="U4:U22" si="29">MOD(INT(G4/2^$U$2),2)</f>
        <v>0</v>
      </c>
      <c r="V4" s="16">
        <f t="shared" ref="V4:V22" si="30">MOD(INT(G4/2^$V$2),2)</f>
        <v>0</v>
      </c>
      <c r="W4" s="16">
        <f t="shared" ref="W4:W22" si="31">MOD(INT(G4/2^$W$2),2)</f>
        <v>1</v>
      </c>
      <c r="X4" s="16">
        <f t="shared" ref="X4:X22" si="32">MOD(INT(G4/2^$X$2),2)</f>
        <v>0</v>
      </c>
      <c r="Y4" s="16">
        <f t="shared" ref="Y4:Y22" si="33">MOD(INT(G4/2^$Y$2),2)</f>
        <v>0</v>
      </c>
    </row>
    <row r="5" spans="1:25" x14ac:dyDescent="0.3">
      <c r="A5" s="16" t="s">
        <v>520</v>
      </c>
      <c r="B5" s="6">
        <v>10288</v>
      </c>
      <c r="E5" s="16" t="s">
        <v>536</v>
      </c>
      <c r="G5" s="16">
        <f t="shared" si="16"/>
        <v>10288</v>
      </c>
      <c r="H5" s="16" t="str">
        <f t="shared" si="17"/>
        <v>2830</v>
      </c>
      <c r="J5" s="16">
        <f t="shared" si="18"/>
        <v>0</v>
      </c>
      <c r="K5" s="16">
        <f t="shared" si="19"/>
        <v>0</v>
      </c>
      <c r="L5" s="16">
        <f t="shared" si="20"/>
        <v>1</v>
      </c>
      <c r="M5" s="16">
        <f t="shared" si="21"/>
        <v>0</v>
      </c>
      <c r="N5" s="16">
        <f t="shared" si="22"/>
        <v>1</v>
      </c>
      <c r="O5" s="16">
        <f t="shared" si="23"/>
        <v>0</v>
      </c>
      <c r="P5" s="16">
        <f t="shared" si="24"/>
        <v>0</v>
      </c>
      <c r="Q5" s="16">
        <f t="shared" si="25"/>
        <v>0</v>
      </c>
      <c r="R5" s="16">
        <f t="shared" si="26"/>
        <v>0</v>
      </c>
      <c r="S5" s="16">
        <f t="shared" si="27"/>
        <v>0</v>
      </c>
      <c r="T5" s="16">
        <f t="shared" si="28"/>
        <v>1</v>
      </c>
      <c r="U5" s="16">
        <f t="shared" si="29"/>
        <v>1</v>
      </c>
      <c r="V5" s="16">
        <f t="shared" si="30"/>
        <v>0</v>
      </c>
      <c r="W5" s="16">
        <f t="shared" si="31"/>
        <v>0</v>
      </c>
      <c r="X5" s="16">
        <f t="shared" si="32"/>
        <v>0</v>
      </c>
      <c r="Y5" s="16">
        <f t="shared" si="33"/>
        <v>0</v>
      </c>
    </row>
    <row r="6" spans="1:25" x14ac:dyDescent="0.3">
      <c r="A6" s="16" t="s">
        <v>519</v>
      </c>
      <c r="B6" s="6">
        <v>16386</v>
      </c>
      <c r="E6" s="16" t="s">
        <v>536</v>
      </c>
      <c r="G6" s="16">
        <f t="shared" si="16"/>
        <v>16386</v>
      </c>
      <c r="H6" s="16" t="str">
        <f t="shared" si="17"/>
        <v>4002</v>
      </c>
      <c r="J6" s="16">
        <f t="shared" si="18"/>
        <v>0</v>
      </c>
      <c r="K6" s="16">
        <f t="shared" si="19"/>
        <v>1</v>
      </c>
      <c r="L6" s="16">
        <f t="shared" si="20"/>
        <v>0</v>
      </c>
      <c r="M6" s="16">
        <f t="shared" si="21"/>
        <v>0</v>
      </c>
      <c r="N6" s="16">
        <f t="shared" si="22"/>
        <v>0</v>
      </c>
      <c r="O6" s="16">
        <f t="shared" si="23"/>
        <v>0</v>
      </c>
      <c r="P6" s="16">
        <f t="shared" si="24"/>
        <v>0</v>
      </c>
      <c r="Q6" s="16">
        <f t="shared" si="25"/>
        <v>0</v>
      </c>
      <c r="R6" s="16">
        <f t="shared" si="26"/>
        <v>0</v>
      </c>
      <c r="S6" s="16">
        <f t="shared" si="27"/>
        <v>0</v>
      </c>
      <c r="T6" s="16">
        <f t="shared" si="28"/>
        <v>0</v>
      </c>
      <c r="U6" s="16">
        <f t="shared" si="29"/>
        <v>0</v>
      </c>
      <c r="V6" s="16">
        <f t="shared" si="30"/>
        <v>0</v>
      </c>
      <c r="W6" s="16">
        <f t="shared" si="31"/>
        <v>0</v>
      </c>
      <c r="X6" s="16">
        <f t="shared" si="32"/>
        <v>1</v>
      </c>
      <c r="Y6" s="16">
        <f t="shared" si="33"/>
        <v>0</v>
      </c>
    </row>
    <row r="7" spans="1:25" x14ac:dyDescent="0.3">
      <c r="A7" s="16" t="s">
        <v>522</v>
      </c>
      <c r="B7" s="6">
        <v>20608</v>
      </c>
      <c r="E7" s="16" t="s">
        <v>536</v>
      </c>
      <c r="G7" s="16">
        <f t="shared" si="16"/>
        <v>20608</v>
      </c>
      <c r="H7" s="16" t="str">
        <f t="shared" si="17"/>
        <v>5080</v>
      </c>
      <c r="J7" s="16">
        <f t="shared" si="18"/>
        <v>0</v>
      </c>
      <c r="K7" s="16">
        <f t="shared" si="19"/>
        <v>1</v>
      </c>
      <c r="L7" s="16">
        <f t="shared" si="20"/>
        <v>0</v>
      </c>
      <c r="M7" s="16">
        <f t="shared" si="21"/>
        <v>1</v>
      </c>
      <c r="N7" s="16">
        <f t="shared" si="22"/>
        <v>0</v>
      </c>
      <c r="O7" s="16">
        <f t="shared" si="23"/>
        <v>0</v>
      </c>
      <c r="P7" s="16">
        <f t="shared" si="24"/>
        <v>0</v>
      </c>
      <c r="Q7" s="16">
        <f t="shared" si="25"/>
        <v>0</v>
      </c>
      <c r="R7" s="16">
        <f t="shared" si="26"/>
        <v>1</v>
      </c>
      <c r="S7" s="16">
        <f t="shared" si="27"/>
        <v>0</v>
      </c>
      <c r="T7" s="16">
        <f t="shared" si="28"/>
        <v>0</v>
      </c>
      <c r="U7" s="16">
        <f t="shared" si="29"/>
        <v>0</v>
      </c>
      <c r="V7" s="16">
        <f t="shared" si="30"/>
        <v>0</v>
      </c>
      <c r="W7" s="16">
        <f t="shared" si="31"/>
        <v>0</v>
      </c>
      <c r="X7" s="16">
        <f t="shared" si="32"/>
        <v>0</v>
      </c>
      <c r="Y7" s="16">
        <f t="shared" si="33"/>
        <v>0</v>
      </c>
    </row>
    <row r="8" spans="1:25" x14ac:dyDescent="0.3">
      <c r="A8" s="16" t="s">
        <v>526</v>
      </c>
      <c r="B8" s="6">
        <v>2048</v>
      </c>
      <c r="E8" s="16" t="s">
        <v>536</v>
      </c>
      <c r="G8" s="16">
        <f t="shared" si="16"/>
        <v>2048</v>
      </c>
      <c r="H8" s="16" t="str">
        <f t="shared" si="17"/>
        <v>0800</v>
      </c>
      <c r="J8" s="16">
        <f t="shared" si="18"/>
        <v>0</v>
      </c>
      <c r="K8" s="16">
        <f t="shared" si="19"/>
        <v>0</v>
      </c>
      <c r="L8" s="16">
        <f t="shared" si="20"/>
        <v>0</v>
      </c>
      <c r="M8" s="16">
        <f t="shared" si="21"/>
        <v>0</v>
      </c>
      <c r="N8" s="16">
        <f t="shared" si="22"/>
        <v>1</v>
      </c>
      <c r="O8" s="16">
        <f t="shared" si="23"/>
        <v>0</v>
      </c>
      <c r="P8" s="16">
        <f t="shared" si="24"/>
        <v>0</v>
      </c>
      <c r="Q8" s="16">
        <f t="shared" si="25"/>
        <v>0</v>
      </c>
      <c r="R8" s="16">
        <f t="shared" si="26"/>
        <v>0</v>
      </c>
      <c r="S8" s="16">
        <f t="shared" si="27"/>
        <v>0</v>
      </c>
      <c r="T8" s="16">
        <f t="shared" si="28"/>
        <v>0</v>
      </c>
      <c r="U8" s="16">
        <f t="shared" si="29"/>
        <v>0</v>
      </c>
      <c r="V8" s="16">
        <f t="shared" si="30"/>
        <v>0</v>
      </c>
      <c r="W8" s="16">
        <f t="shared" si="31"/>
        <v>0</v>
      </c>
      <c r="X8" s="16">
        <f t="shared" si="32"/>
        <v>0</v>
      </c>
      <c r="Y8" s="16">
        <f t="shared" si="33"/>
        <v>0</v>
      </c>
    </row>
    <row r="9" spans="1:25" x14ac:dyDescent="0.3">
      <c r="A9" s="16" t="s">
        <v>523</v>
      </c>
      <c r="B9" s="6">
        <v>20706</v>
      </c>
      <c r="E9" s="16" t="s">
        <v>536</v>
      </c>
      <c r="G9" s="16">
        <f t="shared" si="16"/>
        <v>20706</v>
      </c>
      <c r="H9" s="16" t="str">
        <f t="shared" si="17"/>
        <v>50E2</v>
      </c>
      <c r="J9" s="16">
        <f t="shared" si="18"/>
        <v>0</v>
      </c>
      <c r="K9" s="16">
        <f t="shared" si="19"/>
        <v>1</v>
      </c>
      <c r="L9" s="16">
        <f t="shared" si="20"/>
        <v>0</v>
      </c>
      <c r="M9" s="16">
        <f t="shared" si="21"/>
        <v>1</v>
      </c>
      <c r="N9" s="16">
        <f t="shared" si="22"/>
        <v>0</v>
      </c>
      <c r="O9" s="16">
        <f t="shared" si="23"/>
        <v>0</v>
      </c>
      <c r="P9" s="16">
        <f t="shared" si="24"/>
        <v>0</v>
      </c>
      <c r="Q9" s="16">
        <f t="shared" si="25"/>
        <v>0</v>
      </c>
      <c r="R9" s="16">
        <f t="shared" si="26"/>
        <v>1</v>
      </c>
      <c r="S9" s="16">
        <f t="shared" si="27"/>
        <v>1</v>
      </c>
      <c r="T9" s="16">
        <f t="shared" si="28"/>
        <v>1</v>
      </c>
      <c r="U9" s="16">
        <f t="shared" si="29"/>
        <v>0</v>
      </c>
      <c r="V9" s="16">
        <f t="shared" si="30"/>
        <v>0</v>
      </c>
      <c r="W9" s="16">
        <f t="shared" si="31"/>
        <v>0</v>
      </c>
      <c r="X9" s="16">
        <f t="shared" si="32"/>
        <v>1</v>
      </c>
      <c r="Y9" s="16">
        <f t="shared" si="33"/>
        <v>0</v>
      </c>
    </row>
    <row r="10" spans="1:25" x14ac:dyDescent="0.3">
      <c r="A10" s="16" t="s">
        <v>521</v>
      </c>
      <c r="B10" s="6">
        <v>0</v>
      </c>
      <c r="E10" s="16" t="s">
        <v>536</v>
      </c>
      <c r="G10" s="16">
        <f t="shared" si="16"/>
        <v>0</v>
      </c>
      <c r="H10" s="16" t="str">
        <f t="shared" si="17"/>
        <v>0000</v>
      </c>
      <c r="J10" s="16">
        <f t="shared" si="18"/>
        <v>0</v>
      </c>
      <c r="K10" s="16">
        <f t="shared" si="19"/>
        <v>0</v>
      </c>
      <c r="L10" s="16">
        <f t="shared" si="20"/>
        <v>0</v>
      </c>
      <c r="M10" s="16">
        <f t="shared" si="21"/>
        <v>0</v>
      </c>
      <c r="N10" s="16">
        <f t="shared" si="22"/>
        <v>0</v>
      </c>
      <c r="O10" s="16">
        <f t="shared" si="23"/>
        <v>0</v>
      </c>
      <c r="P10" s="16">
        <f t="shared" si="24"/>
        <v>0</v>
      </c>
      <c r="Q10" s="16">
        <f t="shared" si="25"/>
        <v>0</v>
      </c>
      <c r="R10" s="16">
        <f t="shared" si="26"/>
        <v>0</v>
      </c>
      <c r="S10" s="16">
        <f t="shared" si="27"/>
        <v>0</v>
      </c>
      <c r="T10" s="16">
        <f t="shared" si="28"/>
        <v>0</v>
      </c>
      <c r="U10" s="16">
        <f t="shared" si="29"/>
        <v>0</v>
      </c>
      <c r="V10" s="16">
        <f t="shared" si="30"/>
        <v>0</v>
      </c>
      <c r="W10" s="16">
        <f t="shared" si="31"/>
        <v>0</v>
      </c>
      <c r="X10" s="16">
        <f t="shared" si="32"/>
        <v>0</v>
      </c>
      <c r="Y10" s="16">
        <f t="shared" si="33"/>
        <v>0</v>
      </c>
    </row>
    <row r="11" spans="1:25" x14ac:dyDescent="0.3">
      <c r="A11" s="17" t="s">
        <v>525</v>
      </c>
      <c r="B11" s="17">
        <v>33792</v>
      </c>
      <c r="E11" s="16" t="s">
        <v>536</v>
      </c>
      <c r="G11" s="16">
        <f t="shared" si="16"/>
        <v>33792</v>
      </c>
      <c r="H11" s="16" t="str">
        <f t="shared" si="17"/>
        <v>8400</v>
      </c>
      <c r="J11" s="16">
        <f t="shared" si="18"/>
        <v>1</v>
      </c>
      <c r="K11" s="16">
        <f t="shared" si="19"/>
        <v>0</v>
      </c>
      <c r="L11" s="16">
        <f t="shared" si="20"/>
        <v>0</v>
      </c>
      <c r="M11" s="16">
        <f t="shared" si="21"/>
        <v>0</v>
      </c>
      <c r="N11" s="16">
        <f t="shared" si="22"/>
        <v>0</v>
      </c>
      <c r="O11" s="16">
        <f t="shared" si="23"/>
        <v>1</v>
      </c>
      <c r="P11" s="16">
        <f t="shared" si="24"/>
        <v>0</v>
      </c>
      <c r="Q11" s="16">
        <f t="shared" si="25"/>
        <v>0</v>
      </c>
      <c r="R11" s="16">
        <f t="shared" si="26"/>
        <v>0</v>
      </c>
      <c r="S11" s="16">
        <f t="shared" si="27"/>
        <v>0</v>
      </c>
      <c r="T11" s="16">
        <f t="shared" si="28"/>
        <v>0</v>
      </c>
      <c r="U11" s="16">
        <f t="shared" si="29"/>
        <v>0</v>
      </c>
      <c r="V11" s="16">
        <f t="shared" si="30"/>
        <v>0</v>
      </c>
      <c r="W11" s="16">
        <f t="shared" si="31"/>
        <v>0</v>
      </c>
      <c r="X11" s="16">
        <f t="shared" si="32"/>
        <v>0</v>
      </c>
      <c r="Y11" s="16">
        <f t="shared" si="33"/>
        <v>0</v>
      </c>
    </row>
    <row r="12" spans="1:25" x14ac:dyDescent="0.3">
      <c r="A12" s="16" t="s">
        <v>513</v>
      </c>
      <c r="B12" s="16">
        <v>65535</v>
      </c>
      <c r="E12" s="16" t="s">
        <v>536</v>
      </c>
      <c r="G12" s="16">
        <f t="shared" si="16"/>
        <v>65535</v>
      </c>
      <c r="H12" s="16" t="str">
        <f t="shared" si="17"/>
        <v>FFFF</v>
      </c>
      <c r="J12" s="16">
        <f t="shared" si="18"/>
        <v>1</v>
      </c>
      <c r="K12" s="16">
        <f t="shared" si="19"/>
        <v>1</v>
      </c>
      <c r="L12" s="16">
        <f t="shared" si="20"/>
        <v>1</v>
      </c>
      <c r="M12" s="16">
        <f t="shared" si="21"/>
        <v>1</v>
      </c>
      <c r="N12" s="16">
        <f t="shared" si="22"/>
        <v>1</v>
      </c>
      <c r="O12" s="16">
        <f t="shared" si="23"/>
        <v>1</v>
      </c>
      <c r="P12" s="16">
        <f t="shared" si="24"/>
        <v>1</v>
      </c>
      <c r="Q12" s="16">
        <f t="shared" si="25"/>
        <v>1</v>
      </c>
      <c r="R12" s="16">
        <f t="shared" si="26"/>
        <v>1</v>
      </c>
      <c r="S12" s="16">
        <f t="shared" si="27"/>
        <v>1</v>
      </c>
      <c r="T12" s="16">
        <f t="shared" si="28"/>
        <v>1</v>
      </c>
      <c r="U12" s="16">
        <f t="shared" si="29"/>
        <v>1</v>
      </c>
      <c r="V12" s="16">
        <f t="shared" si="30"/>
        <v>1</v>
      </c>
      <c r="W12" s="16">
        <f t="shared" si="31"/>
        <v>1</v>
      </c>
      <c r="X12" s="16">
        <f t="shared" si="32"/>
        <v>1</v>
      </c>
      <c r="Y12" s="16">
        <f t="shared" si="33"/>
        <v>1</v>
      </c>
    </row>
    <row r="13" spans="1:25" x14ac:dyDescent="0.3">
      <c r="A13" s="16" t="s">
        <v>516</v>
      </c>
      <c r="B13" s="16">
        <v>0</v>
      </c>
      <c r="E13" s="16" t="s">
        <v>536</v>
      </c>
      <c r="G13" s="16">
        <f t="shared" si="16"/>
        <v>0</v>
      </c>
      <c r="H13" s="16" t="str">
        <f t="shared" si="17"/>
        <v>0000</v>
      </c>
      <c r="J13" s="16">
        <f t="shared" si="18"/>
        <v>0</v>
      </c>
      <c r="K13" s="16">
        <f t="shared" si="19"/>
        <v>0</v>
      </c>
      <c r="L13" s="16">
        <f t="shared" si="20"/>
        <v>0</v>
      </c>
      <c r="M13" s="16">
        <f t="shared" si="21"/>
        <v>0</v>
      </c>
      <c r="N13" s="16">
        <f t="shared" si="22"/>
        <v>0</v>
      </c>
      <c r="O13" s="16">
        <f t="shared" si="23"/>
        <v>0</v>
      </c>
      <c r="P13" s="16">
        <f t="shared" si="24"/>
        <v>0</v>
      </c>
      <c r="Q13" s="16">
        <f t="shared" si="25"/>
        <v>0</v>
      </c>
      <c r="R13" s="16">
        <f t="shared" si="26"/>
        <v>0</v>
      </c>
      <c r="S13" s="16">
        <f t="shared" si="27"/>
        <v>0</v>
      </c>
      <c r="T13" s="16">
        <f t="shared" si="28"/>
        <v>0</v>
      </c>
      <c r="U13" s="16">
        <f t="shared" si="29"/>
        <v>0</v>
      </c>
      <c r="V13" s="16">
        <f t="shared" si="30"/>
        <v>0</v>
      </c>
      <c r="W13" s="16">
        <f t="shared" si="31"/>
        <v>0</v>
      </c>
      <c r="X13" s="16">
        <f t="shared" si="32"/>
        <v>0</v>
      </c>
      <c r="Y13" s="16">
        <f t="shared" si="33"/>
        <v>0</v>
      </c>
    </row>
    <row r="14" spans="1:25" x14ac:dyDescent="0.3">
      <c r="A14" s="16" t="s">
        <v>524</v>
      </c>
      <c r="B14" s="16">
        <v>33824</v>
      </c>
      <c r="E14" s="16" t="s">
        <v>536</v>
      </c>
      <c r="G14" s="16">
        <f t="shared" si="16"/>
        <v>33824</v>
      </c>
      <c r="H14" s="16" t="str">
        <f t="shared" si="17"/>
        <v>8420</v>
      </c>
      <c r="J14" s="16">
        <f t="shared" si="18"/>
        <v>1</v>
      </c>
      <c r="K14" s="16">
        <f t="shared" si="19"/>
        <v>0</v>
      </c>
      <c r="L14" s="16">
        <f t="shared" si="20"/>
        <v>0</v>
      </c>
      <c r="M14" s="16">
        <f t="shared" si="21"/>
        <v>0</v>
      </c>
      <c r="N14" s="16">
        <f t="shared" si="22"/>
        <v>0</v>
      </c>
      <c r="O14" s="16">
        <f t="shared" si="23"/>
        <v>1</v>
      </c>
      <c r="P14" s="16">
        <f t="shared" si="24"/>
        <v>0</v>
      </c>
      <c r="Q14" s="16">
        <f t="shared" si="25"/>
        <v>0</v>
      </c>
      <c r="R14" s="16">
        <f t="shared" si="26"/>
        <v>0</v>
      </c>
      <c r="S14" s="16">
        <f t="shared" si="27"/>
        <v>0</v>
      </c>
      <c r="T14" s="16">
        <f t="shared" si="28"/>
        <v>1</v>
      </c>
      <c r="U14" s="16">
        <f t="shared" si="29"/>
        <v>0</v>
      </c>
      <c r="V14" s="16">
        <f t="shared" si="30"/>
        <v>0</v>
      </c>
      <c r="W14" s="16">
        <f t="shared" si="31"/>
        <v>0</v>
      </c>
      <c r="X14" s="16">
        <f t="shared" si="32"/>
        <v>0</v>
      </c>
      <c r="Y14" s="16">
        <f t="shared" si="33"/>
        <v>0</v>
      </c>
    </row>
    <row r="15" spans="1:25" x14ac:dyDescent="0.3">
      <c r="A15" s="16" t="s">
        <v>514</v>
      </c>
      <c r="B15" s="16">
        <v>65535</v>
      </c>
      <c r="E15" s="16" t="s">
        <v>536</v>
      </c>
      <c r="G15" s="16">
        <f t="shared" si="16"/>
        <v>65535</v>
      </c>
      <c r="H15" s="16" t="str">
        <f t="shared" si="17"/>
        <v>FFFF</v>
      </c>
      <c r="J15" s="16">
        <f t="shared" si="18"/>
        <v>1</v>
      </c>
      <c r="K15" s="16">
        <f t="shared" si="19"/>
        <v>1</v>
      </c>
      <c r="L15" s="16">
        <f t="shared" si="20"/>
        <v>1</v>
      </c>
      <c r="M15" s="16">
        <f t="shared" si="21"/>
        <v>1</v>
      </c>
      <c r="N15" s="16">
        <f t="shared" si="22"/>
        <v>1</v>
      </c>
      <c r="O15" s="16">
        <f t="shared" si="23"/>
        <v>1</v>
      </c>
      <c r="P15" s="16">
        <f t="shared" si="24"/>
        <v>1</v>
      </c>
      <c r="Q15" s="16">
        <f t="shared" si="25"/>
        <v>1</v>
      </c>
      <c r="R15" s="16">
        <f t="shared" si="26"/>
        <v>1</v>
      </c>
      <c r="S15" s="16">
        <f t="shared" si="27"/>
        <v>1</v>
      </c>
      <c r="T15" s="16">
        <f t="shared" si="28"/>
        <v>1</v>
      </c>
      <c r="U15" s="16">
        <f t="shared" si="29"/>
        <v>1</v>
      </c>
      <c r="V15" s="16">
        <f t="shared" si="30"/>
        <v>1</v>
      </c>
      <c r="W15" s="16">
        <f t="shared" si="31"/>
        <v>1</v>
      </c>
      <c r="X15" s="16">
        <f t="shared" si="32"/>
        <v>1</v>
      </c>
      <c r="Y15" s="16">
        <f t="shared" si="33"/>
        <v>1</v>
      </c>
    </row>
    <row r="16" spans="1:25" x14ac:dyDescent="0.3">
      <c r="A16" s="16" t="s">
        <v>516</v>
      </c>
      <c r="B16" s="16">
        <v>0</v>
      </c>
      <c r="E16" s="16" t="s">
        <v>536</v>
      </c>
      <c r="G16" s="16">
        <f t="shared" si="16"/>
        <v>0</v>
      </c>
      <c r="H16" s="16" t="str">
        <f t="shared" si="17"/>
        <v>0000</v>
      </c>
      <c r="J16" s="16">
        <f t="shared" si="18"/>
        <v>0</v>
      </c>
      <c r="K16" s="16">
        <f t="shared" si="19"/>
        <v>0</v>
      </c>
      <c r="L16" s="16">
        <f t="shared" si="20"/>
        <v>0</v>
      </c>
      <c r="M16" s="16">
        <f t="shared" si="21"/>
        <v>0</v>
      </c>
      <c r="N16" s="16">
        <f t="shared" si="22"/>
        <v>0</v>
      </c>
      <c r="O16" s="16">
        <f t="shared" si="23"/>
        <v>0</v>
      </c>
      <c r="P16" s="16">
        <f t="shared" si="24"/>
        <v>0</v>
      </c>
      <c r="Q16" s="16">
        <f t="shared" si="25"/>
        <v>0</v>
      </c>
      <c r="R16" s="16">
        <f t="shared" si="26"/>
        <v>0</v>
      </c>
      <c r="S16" s="16">
        <f t="shared" si="27"/>
        <v>0</v>
      </c>
      <c r="T16" s="16">
        <f t="shared" si="28"/>
        <v>0</v>
      </c>
      <c r="U16" s="16">
        <f t="shared" si="29"/>
        <v>0</v>
      </c>
      <c r="V16" s="16">
        <f t="shared" si="30"/>
        <v>0</v>
      </c>
      <c r="W16" s="16">
        <f t="shared" si="31"/>
        <v>0</v>
      </c>
      <c r="X16" s="16">
        <f t="shared" si="32"/>
        <v>0</v>
      </c>
      <c r="Y16" s="16">
        <f t="shared" si="33"/>
        <v>0</v>
      </c>
    </row>
    <row r="17" spans="1:26" x14ac:dyDescent="0.3">
      <c r="A17" s="16" t="s">
        <v>548</v>
      </c>
      <c r="B17" s="16">
        <v>33856</v>
      </c>
      <c r="E17" s="16" t="s">
        <v>536</v>
      </c>
      <c r="G17" s="16">
        <f t="shared" si="16"/>
        <v>33856</v>
      </c>
      <c r="H17" s="16" t="str">
        <f t="shared" si="17"/>
        <v>8440</v>
      </c>
      <c r="J17" s="16">
        <f t="shared" si="18"/>
        <v>1</v>
      </c>
      <c r="K17" s="16">
        <f t="shared" si="19"/>
        <v>0</v>
      </c>
      <c r="L17" s="16">
        <f t="shared" si="20"/>
        <v>0</v>
      </c>
      <c r="M17" s="16">
        <f t="shared" si="21"/>
        <v>0</v>
      </c>
      <c r="N17" s="16">
        <f t="shared" si="22"/>
        <v>0</v>
      </c>
      <c r="O17" s="16">
        <f t="shared" si="23"/>
        <v>1</v>
      </c>
      <c r="P17" s="16">
        <f t="shared" si="24"/>
        <v>0</v>
      </c>
      <c r="Q17" s="16">
        <f t="shared" si="25"/>
        <v>0</v>
      </c>
      <c r="R17" s="16">
        <f t="shared" si="26"/>
        <v>0</v>
      </c>
      <c r="S17" s="16">
        <f t="shared" si="27"/>
        <v>1</v>
      </c>
      <c r="T17" s="16">
        <f t="shared" si="28"/>
        <v>0</v>
      </c>
      <c r="U17" s="16">
        <f t="shared" si="29"/>
        <v>0</v>
      </c>
      <c r="V17" s="16">
        <f t="shared" si="30"/>
        <v>0</v>
      </c>
      <c r="W17" s="16">
        <f t="shared" si="31"/>
        <v>0</v>
      </c>
      <c r="X17" s="16">
        <f t="shared" si="32"/>
        <v>0</v>
      </c>
      <c r="Y17" s="16">
        <f t="shared" si="33"/>
        <v>0</v>
      </c>
    </row>
    <row r="18" spans="1:26" x14ac:dyDescent="0.3">
      <c r="A18" s="16" t="s">
        <v>515</v>
      </c>
      <c r="B18" s="16">
        <v>65535</v>
      </c>
      <c r="E18" s="16" t="s">
        <v>536</v>
      </c>
      <c r="G18" s="16">
        <f t="shared" si="16"/>
        <v>65535</v>
      </c>
      <c r="H18" s="16" t="str">
        <f t="shared" si="17"/>
        <v>FFFF</v>
      </c>
      <c r="J18" s="16">
        <f t="shared" si="18"/>
        <v>1</v>
      </c>
      <c r="K18" s="16">
        <f t="shared" si="19"/>
        <v>1</v>
      </c>
      <c r="L18" s="16">
        <f t="shared" si="20"/>
        <v>1</v>
      </c>
      <c r="M18" s="16">
        <f t="shared" si="21"/>
        <v>1</v>
      </c>
      <c r="N18" s="16">
        <f t="shared" si="22"/>
        <v>1</v>
      </c>
      <c r="O18" s="16">
        <f t="shared" si="23"/>
        <v>1</v>
      </c>
      <c r="P18" s="16">
        <f t="shared" si="24"/>
        <v>1</v>
      </c>
      <c r="Q18" s="16">
        <f t="shared" si="25"/>
        <v>1</v>
      </c>
      <c r="R18" s="16">
        <f t="shared" si="26"/>
        <v>1</v>
      </c>
      <c r="S18" s="16">
        <f t="shared" si="27"/>
        <v>1</v>
      </c>
      <c r="T18" s="16">
        <f t="shared" si="28"/>
        <v>1</v>
      </c>
      <c r="U18" s="16">
        <f t="shared" si="29"/>
        <v>1</v>
      </c>
      <c r="V18" s="16">
        <f t="shared" si="30"/>
        <v>1</v>
      </c>
      <c r="W18" s="16">
        <f t="shared" si="31"/>
        <v>1</v>
      </c>
      <c r="X18" s="16">
        <f t="shared" si="32"/>
        <v>1</v>
      </c>
      <c r="Y18" s="16">
        <f t="shared" si="33"/>
        <v>1</v>
      </c>
    </row>
    <row r="19" spans="1:26" x14ac:dyDescent="0.3">
      <c r="A19" s="16" t="s">
        <v>516</v>
      </c>
      <c r="B19" s="16">
        <v>0</v>
      </c>
      <c r="E19" s="16" t="s">
        <v>536</v>
      </c>
      <c r="G19" s="16">
        <f t="shared" si="16"/>
        <v>0</v>
      </c>
      <c r="H19" s="16" t="str">
        <f t="shared" si="17"/>
        <v>0000</v>
      </c>
      <c r="J19" s="16">
        <f t="shared" si="18"/>
        <v>0</v>
      </c>
      <c r="K19" s="16">
        <f t="shared" si="19"/>
        <v>0</v>
      </c>
      <c r="L19" s="16">
        <f t="shared" si="20"/>
        <v>0</v>
      </c>
      <c r="M19" s="16">
        <f t="shared" si="21"/>
        <v>0</v>
      </c>
      <c r="N19" s="16">
        <f t="shared" si="22"/>
        <v>0</v>
      </c>
      <c r="O19" s="16">
        <f t="shared" si="23"/>
        <v>0</v>
      </c>
      <c r="P19" s="16">
        <f t="shared" si="24"/>
        <v>0</v>
      </c>
      <c r="Q19" s="16">
        <f t="shared" si="25"/>
        <v>0</v>
      </c>
      <c r="R19" s="16">
        <f t="shared" si="26"/>
        <v>0</v>
      </c>
      <c r="S19" s="16">
        <f t="shared" si="27"/>
        <v>0</v>
      </c>
      <c r="T19" s="16">
        <f t="shared" si="28"/>
        <v>0</v>
      </c>
      <c r="U19" s="16">
        <f t="shared" si="29"/>
        <v>0</v>
      </c>
      <c r="V19" s="16">
        <f t="shared" si="30"/>
        <v>0</v>
      </c>
      <c r="W19" s="16">
        <f t="shared" si="31"/>
        <v>0</v>
      </c>
      <c r="X19" s="16">
        <f t="shared" si="32"/>
        <v>0</v>
      </c>
      <c r="Y19" s="16">
        <f t="shared" si="33"/>
        <v>0</v>
      </c>
    </row>
    <row r="20" spans="1:26" x14ac:dyDescent="0.3">
      <c r="A20" s="16" t="s">
        <v>549</v>
      </c>
      <c r="B20" s="16">
        <v>54784</v>
      </c>
      <c r="E20" s="16" t="s">
        <v>536</v>
      </c>
      <c r="G20" s="16">
        <f t="shared" si="16"/>
        <v>54784</v>
      </c>
      <c r="H20" s="16" t="str">
        <f t="shared" si="17"/>
        <v>D600</v>
      </c>
      <c r="J20" s="16">
        <f t="shared" si="18"/>
        <v>1</v>
      </c>
      <c r="K20" s="16">
        <f t="shared" si="19"/>
        <v>1</v>
      </c>
      <c r="L20" s="16">
        <f t="shared" si="20"/>
        <v>0</v>
      </c>
      <c r="M20" s="16">
        <f t="shared" si="21"/>
        <v>1</v>
      </c>
      <c r="N20" s="16">
        <f t="shared" si="22"/>
        <v>0</v>
      </c>
      <c r="O20" s="16">
        <f t="shared" si="23"/>
        <v>1</v>
      </c>
      <c r="P20" s="16">
        <f t="shared" si="24"/>
        <v>1</v>
      </c>
      <c r="Q20" s="16">
        <f t="shared" si="25"/>
        <v>0</v>
      </c>
      <c r="R20" s="16">
        <f t="shared" si="26"/>
        <v>0</v>
      </c>
      <c r="S20" s="16">
        <f t="shared" si="27"/>
        <v>0</v>
      </c>
      <c r="T20" s="16">
        <f t="shared" si="28"/>
        <v>0</v>
      </c>
      <c r="U20" s="16">
        <f t="shared" si="29"/>
        <v>0</v>
      </c>
      <c r="V20" s="16">
        <f t="shared" si="30"/>
        <v>0</v>
      </c>
      <c r="W20" s="16">
        <f t="shared" si="31"/>
        <v>0</v>
      </c>
      <c r="X20" s="16">
        <f t="shared" si="32"/>
        <v>0</v>
      </c>
      <c r="Y20" s="16">
        <f t="shared" si="33"/>
        <v>0</v>
      </c>
    </row>
    <row r="21" spans="1:26" x14ac:dyDescent="0.3">
      <c r="A21" s="16" t="s">
        <v>550</v>
      </c>
      <c r="B21" s="16">
        <v>65535</v>
      </c>
      <c r="E21" s="16" t="s">
        <v>536</v>
      </c>
      <c r="G21" s="16">
        <f t="shared" si="16"/>
        <v>65535</v>
      </c>
      <c r="H21" s="16" t="str">
        <f t="shared" si="17"/>
        <v>FFFF</v>
      </c>
      <c r="J21" s="16">
        <f t="shared" si="18"/>
        <v>1</v>
      </c>
      <c r="K21" s="16">
        <f t="shared" si="19"/>
        <v>1</v>
      </c>
      <c r="L21" s="16">
        <f t="shared" si="20"/>
        <v>1</v>
      </c>
      <c r="M21" s="16">
        <f t="shared" si="21"/>
        <v>1</v>
      </c>
      <c r="N21" s="16">
        <f t="shared" si="22"/>
        <v>1</v>
      </c>
      <c r="O21" s="16">
        <f t="shared" si="23"/>
        <v>1</v>
      </c>
      <c r="P21" s="16">
        <f t="shared" si="24"/>
        <v>1</v>
      </c>
      <c r="Q21" s="16">
        <f t="shared" si="25"/>
        <v>1</v>
      </c>
      <c r="R21" s="16">
        <f t="shared" si="26"/>
        <v>1</v>
      </c>
      <c r="S21" s="16">
        <f t="shared" si="27"/>
        <v>1</v>
      </c>
      <c r="T21" s="16">
        <f t="shared" si="28"/>
        <v>1</v>
      </c>
      <c r="U21" s="16">
        <f t="shared" si="29"/>
        <v>1</v>
      </c>
      <c r="V21" s="16">
        <f t="shared" si="30"/>
        <v>1</v>
      </c>
      <c r="W21" s="16">
        <f t="shared" si="31"/>
        <v>1</v>
      </c>
      <c r="X21" s="16">
        <f t="shared" si="32"/>
        <v>1</v>
      </c>
      <c r="Y21" s="16">
        <f t="shared" si="33"/>
        <v>1</v>
      </c>
    </row>
    <row r="22" spans="1:26" x14ac:dyDescent="0.3">
      <c r="A22" s="16" t="s">
        <v>516</v>
      </c>
      <c r="B22" s="6">
        <v>0</v>
      </c>
      <c r="E22" s="16" t="s">
        <v>536</v>
      </c>
      <c r="G22" s="16">
        <f t="shared" si="16"/>
        <v>0</v>
      </c>
      <c r="H22" s="16" t="str">
        <f t="shared" si="17"/>
        <v>0000</v>
      </c>
      <c r="J22" s="16">
        <f t="shared" si="18"/>
        <v>0</v>
      </c>
      <c r="K22" s="16">
        <f t="shared" si="19"/>
        <v>0</v>
      </c>
      <c r="L22" s="16">
        <f t="shared" si="20"/>
        <v>0</v>
      </c>
      <c r="M22" s="16">
        <f t="shared" si="21"/>
        <v>0</v>
      </c>
      <c r="N22" s="16">
        <f t="shared" si="22"/>
        <v>0</v>
      </c>
      <c r="O22" s="16">
        <f t="shared" si="23"/>
        <v>0</v>
      </c>
      <c r="P22" s="16">
        <f t="shared" si="24"/>
        <v>0</v>
      </c>
      <c r="Q22" s="16">
        <f t="shared" si="25"/>
        <v>0</v>
      </c>
      <c r="R22" s="16">
        <f t="shared" si="26"/>
        <v>0</v>
      </c>
      <c r="S22" s="16">
        <f t="shared" si="27"/>
        <v>0</v>
      </c>
      <c r="T22" s="16">
        <f t="shared" si="28"/>
        <v>0</v>
      </c>
      <c r="U22" s="16">
        <f t="shared" si="29"/>
        <v>0</v>
      </c>
      <c r="V22" s="16">
        <f t="shared" si="30"/>
        <v>0</v>
      </c>
      <c r="W22" s="16">
        <f t="shared" si="31"/>
        <v>0</v>
      </c>
      <c r="X22" s="16">
        <f t="shared" si="32"/>
        <v>0</v>
      </c>
      <c r="Y22" s="16">
        <f t="shared" si="33"/>
        <v>0</v>
      </c>
    </row>
    <row r="23" spans="1:26" x14ac:dyDescent="0.3">
      <c r="B23" s="6"/>
    </row>
    <row r="24" spans="1:26" x14ac:dyDescent="0.3">
      <c r="B24" s="6"/>
    </row>
    <row r="25" spans="1:26" x14ac:dyDescent="0.3">
      <c r="B25" s="6"/>
    </row>
    <row r="26" spans="1:26" x14ac:dyDescent="0.3">
      <c r="B26" s="6"/>
    </row>
    <row r="27" spans="1:26" x14ac:dyDescent="0.3">
      <c r="B27" s="6"/>
    </row>
    <row r="32" spans="1:26" x14ac:dyDescent="0.3">
      <c r="Z32" s="6"/>
    </row>
    <row r="33" spans="2:26" x14ac:dyDescent="0.3">
      <c r="Z33" s="6"/>
    </row>
    <row r="42" spans="2:26" x14ac:dyDescent="0.3">
      <c r="B42" s="6"/>
    </row>
    <row r="43" spans="2:26" x14ac:dyDescent="0.3">
      <c r="B43" s="6"/>
    </row>
    <row r="44" spans="2:26" x14ac:dyDescent="0.3">
      <c r="B44" s="6"/>
    </row>
    <row r="45" spans="2:26" x14ac:dyDescent="0.3">
      <c r="B45" s="6"/>
    </row>
    <row r="46" spans="2:26" x14ac:dyDescent="0.3">
      <c r="B46" s="6"/>
    </row>
    <row r="47" spans="2:26" x14ac:dyDescent="0.3">
      <c r="B47" s="6"/>
    </row>
    <row r="70" spans="3:16" x14ac:dyDescent="0.3">
      <c r="C70" s="14"/>
      <c r="D70" s="14" t="s">
        <v>386</v>
      </c>
      <c r="E70" s="15" t="s">
        <v>388</v>
      </c>
      <c r="F70" s="15" t="s">
        <v>414</v>
      </c>
      <c r="G70" s="14"/>
      <c r="H70" s="14" t="s">
        <v>493</v>
      </c>
      <c r="I70" s="14" t="s">
        <v>261</v>
      </c>
      <c r="J70" s="14" t="s">
        <v>260</v>
      </c>
      <c r="K70" s="14" t="s">
        <v>259</v>
      </c>
      <c r="L70" s="14" t="s">
        <v>258</v>
      </c>
      <c r="M70" s="14" t="s">
        <v>257</v>
      </c>
      <c r="N70" s="14" t="s">
        <v>256</v>
      </c>
      <c r="O70" s="14" t="s">
        <v>255</v>
      </c>
      <c r="P70" s="14" t="s">
        <v>254</v>
      </c>
    </row>
    <row r="71" spans="3:16" x14ac:dyDescent="0.3">
      <c r="C71" s="16">
        <v>0</v>
      </c>
      <c r="D71" s="16" t="str">
        <f t="shared" ref="D71:D90" si="34">A3</f>
        <v>WriteCmd7</v>
      </c>
      <c r="E71" s="6">
        <f t="shared" ref="E71:E90" si="35">B3</f>
        <v>16</v>
      </c>
      <c r="F71" s="28">
        <f>E71+H71</f>
        <v>16646160</v>
      </c>
      <c r="G71" s="16" t="str">
        <f>DEC2HEX(F71,8)</f>
        <v>00FE0010</v>
      </c>
      <c r="H71" s="16">
        <f>2^16*P71+2^17*O71+2^18*N71+2^19*M71+2^20*L71+2^21*K71+2^22*J71+2^23*I71</f>
        <v>16646144</v>
      </c>
      <c r="I71" s="16">
        <v>1</v>
      </c>
      <c r="J71" s="16">
        <v>1</v>
      </c>
      <c r="K71" s="16">
        <v>1</v>
      </c>
      <c r="L71" s="16">
        <v>1</v>
      </c>
      <c r="M71" s="16">
        <v>1</v>
      </c>
      <c r="N71" s="16">
        <v>1</v>
      </c>
      <c r="O71" s="16">
        <v>1</v>
      </c>
      <c r="P71" s="16">
        <v>0</v>
      </c>
    </row>
    <row r="72" spans="3:16" x14ac:dyDescent="0.3">
      <c r="C72" s="16">
        <v>1</v>
      </c>
      <c r="D72" s="16" t="str">
        <f t="shared" si="34"/>
        <v>WriteACTSTAT</v>
      </c>
      <c r="E72" s="6">
        <f t="shared" si="35"/>
        <v>228</v>
      </c>
      <c r="F72" s="28">
        <f t="shared" ref="F72:F90" si="36">E72+H72</f>
        <v>16646372</v>
      </c>
      <c r="G72" s="16" t="str">
        <f t="shared" ref="G72:G90" si="37">DEC2HEX(F72,8)</f>
        <v>00FE00E4</v>
      </c>
      <c r="H72" s="16">
        <f t="shared" ref="H72:H90" si="38">2^16*P72+2^17*O72+2^18*N72+2^19*M72+2^20*L72+2^21*K72+2^22*J72+2^23*I72</f>
        <v>16646144</v>
      </c>
      <c r="I72" s="16">
        <v>1</v>
      </c>
      <c r="J72" s="16">
        <v>1</v>
      </c>
      <c r="K72" s="16">
        <v>1</v>
      </c>
      <c r="L72" s="16">
        <v>1</v>
      </c>
      <c r="M72" s="16">
        <v>1</v>
      </c>
      <c r="N72" s="16">
        <v>1</v>
      </c>
      <c r="O72" s="16">
        <v>1</v>
      </c>
      <c r="P72" s="16">
        <v>0</v>
      </c>
    </row>
    <row r="73" spans="3:16" x14ac:dyDescent="0.3">
      <c r="C73" s="16">
        <v>2</v>
      </c>
      <c r="D73" s="16" t="str">
        <f t="shared" si="34"/>
        <v>WriteCmd8</v>
      </c>
      <c r="E73" s="6">
        <f t="shared" si="35"/>
        <v>10288</v>
      </c>
      <c r="F73" s="28">
        <f t="shared" si="36"/>
        <v>16656432</v>
      </c>
      <c r="G73" s="16" t="str">
        <f t="shared" si="37"/>
        <v>00FE2830</v>
      </c>
      <c r="H73" s="16">
        <f t="shared" si="38"/>
        <v>16646144</v>
      </c>
      <c r="I73" s="16">
        <v>1</v>
      </c>
      <c r="J73" s="16">
        <v>1</v>
      </c>
      <c r="K73" s="16">
        <v>1</v>
      </c>
      <c r="L73" s="16">
        <v>1</v>
      </c>
      <c r="M73" s="16">
        <v>1</v>
      </c>
      <c r="N73" s="16">
        <v>1</v>
      </c>
      <c r="O73" s="16">
        <v>1</v>
      </c>
      <c r="P73" s="16">
        <v>0</v>
      </c>
    </row>
    <row r="74" spans="3:16" x14ac:dyDescent="0.3">
      <c r="C74" s="16">
        <v>3</v>
      </c>
      <c r="D74" s="16" t="str">
        <f t="shared" si="34"/>
        <v>WriteMOD_1</v>
      </c>
      <c r="E74" s="6">
        <f t="shared" si="35"/>
        <v>16386</v>
      </c>
      <c r="F74" s="28">
        <f t="shared" si="36"/>
        <v>16662530</v>
      </c>
      <c r="G74" s="16" t="str">
        <f t="shared" si="37"/>
        <v>00FE4002</v>
      </c>
      <c r="H74" s="16">
        <f t="shared" si="38"/>
        <v>16646144</v>
      </c>
      <c r="I74" s="16">
        <v>1</v>
      </c>
      <c r="J74" s="16">
        <v>1</v>
      </c>
      <c r="K74" s="16">
        <v>1</v>
      </c>
      <c r="L74" s="16">
        <v>1</v>
      </c>
      <c r="M74" s="16">
        <v>1</v>
      </c>
      <c r="N74" s="16">
        <v>1</v>
      </c>
      <c r="O74" s="16">
        <v>1</v>
      </c>
      <c r="P74" s="16">
        <v>0</v>
      </c>
    </row>
    <row r="75" spans="3:16" x14ac:dyDescent="0.3">
      <c r="C75" s="16">
        <v>4</v>
      </c>
      <c r="D75" s="16" t="str">
        <f t="shared" si="34"/>
        <v>WriteCmd9</v>
      </c>
      <c r="E75" s="6">
        <f t="shared" si="35"/>
        <v>20608</v>
      </c>
      <c r="F75" s="28">
        <f t="shared" si="36"/>
        <v>16666752</v>
      </c>
      <c r="G75" s="16" t="str">
        <f t="shared" si="37"/>
        <v>00FE5080</v>
      </c>
      <c r="H75" s="16">
        <f t="shared" si="38"/>
        <v>16646144</v>
      </c>
      <c r="I75" s="16">
        <v>1</v>
      </c>
      <c r="J75" s="16">
        <v>1</v>
      </c>
      <c r="K75" s="16">
        <v>1</v>
      </c>
      <c r="L75" s="16">
        <v>1</v>
      </c>
      <c r="M75" s="16">
        <v>1</v>
      </c>
      <c r="N75" s="16">
        <v>1</v>
      </c>
      <c r="O75" s="16">
        <v>1</v>
      </c>
      <c r="P75" s="16">
        <v>0</v>
      </c>
    </row>
    <row r="76" spans="3:16" x14ac:dyDescent="0.3">
      <c r="C76" s="16">
        <v>5</v>
      </c>
      <c r="D76" s="16" t="str">
        <f t="shared" si="34"/>
        <v>WriteMOD_2</v>
      </c>
      <c r="E76" s="6">
        <f t="shared" si="35"/>
        <v>2048</v>
      </c>
      <c r="F76" s="28">
        <f t="shared" si="36"/>
        <v>16648192</v>
      </c>
      <c r="G76" s="16" t="str">
        <f t="shared" si="37"/>
        <v>00FE0800</v>
      </c>
      <c r="H76" s="16">
        <f t="shared" si="38"/>
        <v>16646144</v>
      </c>
      <c r="I76" s="16">
        <v>1</v>
      </c>
      <c r="J76" s="16">
        <v>1</v>
      </c>
      <c r="K76" s="16">
        <v>1</v>
      </c>
      <c r="L76" s="16">
        <v>1</v>
      </c>
      <c r="M76" s="16">
        <v>1</v>
      </c>
      <c r="N76" s="16">
        <v>1</v>
      </c>
      <c r="O76" s="16">
        <v>1</v>
      </c>
      <c r="P76" s="16">
        <v>0</v>
      </c>
    </row>
    <row r="77" spans="3:16" x14ac:dyDescent="0.3">
      <c r="C77" s="16">
        <v>6</v>
      </c>
      <c r="D77" s="16" t="str">
        <f t="shared" si="34"/>
        <v>WriteCmd10</v>
      </c>
      <c r="E77" s="6">
        <f t="shared" si="35"/>
        <v>20706</v>
      </c>
      <c r="F77" s="28">
        <f t="shared" si="36"/>
        <v>16666850</v>
      </c>
      <c r="G77" s="16" t="str">
        <f t="shared" si="37"/>
        <v>00FE50E2</v>
      </c>
      <c r="H77" s="16">
        <f t="shared" si="38"/>
        <v>16646144</v>
      </c>
      <c r="I77" s="16">
        <v>1</v>
      </c>
      <c r="J77" s="16">
        <v>1</v>
      </c>
      <c r="K77" s="16">
        <v>1</v>
      </c>
      <c r="L77" s="16">
        <v>1</v>
      </c>
      <c r="M77" s="16">
        <v>1</v>
      </c>
      <c r="N77" s="16">
        <v>1</v>
      </c>
      <c r="O77" s="16">
        <v>1</v>
      </c>
      <c r="P77" s="16">
        <v>0</v>
      </c>
    </row>
    <row r="78" spans="3:16" x14ac:dyDescent="0.3">
      <c r="C78" s="16">
        <v>7</v>
      </c>
      <c r="D78" s="16" t="str">
        <f t="shared" si="34"/>
        <v>WriteMOD_4</v>
      </c>
      <c r="E78" s="6">
        <f t="shared" si="35"/>
        <v>0</v>
      </c>
      <c r="F78" s="28">
        <f t="shared" si="36"/>
        <v>16646144</v>
      </c>
      <c r="G78" s="16" t="str">
        <f t="shared" si="37"/>
        <v>00FE0000</v>
      </c>
      <c r="H78" s="16">
        <f t="shared" si="38"/>
        <v>16646144</v>
      </c>
      <c r="I78" s="16">
        <v>1</v>
      </c>
      <c r="J78" s="16">
        <v>1</v>
      </c>
      <c r="K78" s="16">
        <v>1</v>
      </c>
      <c r="L78" s="16">
        <v>1</v>
      </c>
      <c r="M78" s="16">
        <v>1</v>
      </c>
      <c r="N78" s="16">
        <v>1</v>
      </c>
      <c r="O78" s="16">
        <v>1</v>
      </c>
      <c r="P78" s="16">
        <v>0</v>
      </c>
    </row>
    <row r="79" spans="3:16" x14ac:dyDescent="0.3">
      <c r="C79" s="16">
        <v>8</v>
      </c>
      <c r="D79" s="16" t="str">
        <f t="shared" si="34"/>
        <v>WrtieCmd11</v>
      </c>
      <c r="E79" s="6">
        <f t="shared" si="35"/>
        <v>33792</v>
      </c>
      <c r="F79" s="28">
        <f t="shared" si="36"/>
        <v>16679936</v>
      </c>
      <c r="G79" s="16" t="str">
        <f t="shared" si="37"/>
        <v>00FE8400</v>
      </c>
      <c r="H79" s="16">
        <f t="shared" si="38"/>
        <v>16646144</v>
      </c>
      <c r="I79" s="16">
        <v>1</v>
      </c>
      <c r="J79" s="16">
        <v>1</v>
      </c>
      <c r="K79" s="16">
        <v>1</v>
      </c>
      <c r="L79" s="16">
        <v>1</v>
      </c>
      <c r="M79" s="16">
        <v>1</v>
      </c>
      <c r="N79" s="16">
        <v>1</v>
      </c>
      <c r="O79" s="16">
        <v>1</v>
      </c>
      <c r="P79" s="16">
        <v>0</v>
      </c>
    </row>
    <row r="80" spans="3:16" x14ac:dyDescent="0.3">
      <c r="C80" s="16">
        <v>9</v>
      </c>
      <c r="D80" s="17" t="str">
        <f t="shared" si="34"/>
        <v>ReadSTAT</v>
      </c>
      <c r="E80" s="6">
        <f t="shared" si="35"/>
        <v>65535</v>
      </c>
      <c r="F80" s="28">
        <f t="shared" si="36"/>
        <v>16711679</v>
      </c>
      <c r="G80" s="16" t="str">
        <f t="shared" si="37"/>
        <v>00FEFFFF</v>
      </c>
      <c r="H80" s="16">
        <f t="shared" si="38"/>
        <v>16646144</v>
      </c>
      <c r="I80" s="16">
        <v>1</v>
      </c>
      <c r="J80" s="16">
        <v>1</v>
      </c>
      <c r="K80" s="16">
        <v>1</v>
      </c>
      <c r="L80" s="16">
        <v>1</v>
      </c>
      <c r="M80" s="16">
        <v>1</v>
      </c>
      <c r="N80" s="16">
        <v>1</v>
      </c>
      <c r="O80" s="16">
        <v>1</v>
      </c>
      <c r="P80" s="16">
        <v>0</v>
      </c>
    </row>
    <row r="81" spans="3:16" x14ac:dyDescent="0.3">
      <c r="C81" s="16">
        <v>10</v>
      </c>
      <c r="D81" s="16" t="str">
        <f t="shared" si="34"/>
        <v>CSQDeselect</v>
      </c>
      <c r="E81" s="6">
        <f t="shared" si="35"/>
        <v>0</v>
      </c>
      <c r="F81" s="28">
        <f t="shared" si="36"/>
        <v>16580608</v>
      </c>
      <c r="G81" s="16" t="str">
        <f t="shared" si="37"/>
        <v>00FD0000</v>
      </c>
      <c r="H81" s="16">
        <f t="shared" si="38"/>
        <v>16580608</v>
      </c>
      <c r="I81" s="16">
        <v>1</v>
      </c>
      <c r="J81" s="16">
        <v>1</v>
      </c>
      <c r="K81" s="16">
        <v>1</v>
      </c>
      <c r="L81" s="16">
        <v>1</v>
      </c>
      <c r="M81" s="16">
        <v>1</v>
      </c>
      <c r="N81" s="16">
        <v>1</v>
      </c>
      <c r="O81" s="16">
        <v>0</v>
      </c>
      <c r="P81" s="16">
        <v>1</v>
      </c>
    </row>
    <row r="82" spans="3:16" x14ac:dyDescent="0.3">
      <c r="C82" s="16">
        <v>11</v>
      </c>
      <c r="D82" s="16" t="str">
        <f t="shared" si="34"/>
        <v>WriteCmd12</v>
      </c>
      <c r="E82" s="6">
        <f t="shared" si="35"/>
        <v>33824</v>
      </c>
      <c r="F82" s="28">
        <f t="shared" si="36"/>
        <v>16679968</v>
      </c>
      <c r="G82" s="16" t="str">
        <f t="shared" si="37"/>
        <v>00FE8420</v>
      </c>
      <c r="H82" s="16">
        <f t="shared" si="38"/>
        <v>16646144</v>
      </c>
      <c r="I82" s="16">
        <v>1</v>
      </c>
      <c r="J82" s="16">
        <v>1</v>
      </c>
      <c r="K82" s="16">
        <v>1</v>
      </c>
      <c r="L82" s="16">
        <v>1</v>
      </c>
      <c r="M82" s="16">
        <v>1</v>
      </c>
      <c r="N82" s="16">
        <v>1</v>
      </c>
      <c r="O82" s="16">
        <v>1</v>
      </c>
      <c r="P82" s="16">
        <v>0</v>
      </c>
    </row>
    <row r="83" spans="3:16" x14ac:dyDescent="0.3">
      <c r="C83" s="16">
        <v>12</v>
      </c>
      <c r="D83" s="16" t="str">
        <f t="shared" si="34"/>
        <v>ReadAVAL</v>
      </c>
      <c r="E83" s="6">
        <f t="shared" si="35"/>
        <v>65535</v>
      </c>
      <c r="F83" s="28">
        <f t="shared" si="36"/>
        <v>16711679</v>
      </c>
      <c r="G83" s="16" t="str">
        <f t="shared" si="37"/>
        <v>00FEFFFF</v>
      </c>
      <c r="H83" s="16">
        <f t="shared" si="38"/>
        <v>16646144</v>
      </c>
      <c r="I83" s="16">
        <v>1</v>
      </c>
      <c r="J83" s="16">
        <v>1</v>
      </c>
      <c r="K83" s="16">
        <v>1</v>
      </c>
      <c r="L83" s="16">
        <v>1</v>
      </c>
      <c r="M83" s="16">
        <v>1</v>
      </c>
      <c r="N83" s="16">
        <v>1</v>
      </c>
      <c r="O83" s="16">
        <v>1</v>
      </c>
      <c r="P83" s="16">
        <v>0</v>
      </c>
    </row>
    <row r="84" spans="3:16" x14ac:dyDescent="0.3">
      <c r="C84" s="16">
        <v>13</v>
      </c>
      <c r="D84" s="16" t="str">
        <f t="shared" si="34"/>
        <v>CSQDeselect</v>
      </c>
      <c r="E84" s="6">
        <f t="shared" si="35"/>
        <v>0</v>
      </c>
      <c r="F84" s="28">
        <f t="shared" si="36"/>
        <v>16580608</v>
      </c>
      <c r="G84" s="16" t="str">
        <f t="shared" si="37"/>
        <v>00FD0000</v>
      </c>
      <c r="H84" s="16">
        <f t="shared" si="38"/>
        <v>16580608</v>
      </c>
      <c r="I84" s="16">
        <v>1</v>
      </c>
      <c r="J84" s="16">
        <v>1</v>
      </c>
      <c r="K84" s="16">
        <v>1</v>
      </c>
      <c r="L84" s="16">
        <v>1</v>
      </c>
      <c r="M84" s="16">
        <v>1</v>
      </c>
      <c r="N84" s="16">
        <v>1</v>
      </c>
      <c r="O84" s="16">
        <v>0</v>
      </c>
      <c r="P84" s="16">
        <v>1</v>
      </c>
    </row>
    <row r="85" spans="3:16" x14ac:dyDescent="0.3">
      <c r="C85" s="16">
        <v>14</v>
      </c>
      <c r="D85" s="16" t="str">
        <f t="shared" si="34"/>
        <v>WriteCmd13</v>
      </c>
      <c r="E85" s="6">
        <f t="shared" si="35"/>
        <v>33856</v>
      </c>
      <c r="F85" s="28">
        <f t="shared" si="36"/>
        <v>16680000</v>
      </c>
      <c r="G85" s="16" t="str">
        <f t="shared" si="37"/>
        <v>00FE8440</v>
      </c>
      <c r="H85" s="16">
        <f t="shared" si="38"/>
        <v>16646144</v>
      </c>
      <c r="I85" s="16">
        <v>1</v>
      </c>
      <c r="J85" s="16">
        <v>1</v>
      </c>
      <c r="K85" s="16">
        <v>1</v>
      </c>
      <c r="L85" s="16">
        <v>1</v>
      </c>
      <c r="M85" s="16">
        <v>1</v>
      </c>
      <c r="N85" s="16">
        <v>1</v>
      </c>
      <c r="O85" s="16">
        <v>1</v>
      </c>
      <c r="P85" s="16">
        <v>0</v>
      </c>
    </row>
    <row r="86" spans="3:16" x14ac:dyDescent="0.3">
      <c r="C86" s="16">
        <v>15</v>
      </c>
      <c r="D86" s="16" t="str">
        <f t="shared" si="34"/>
        <v>ReadAREV</v>
      </c>
      <c r="E86" s="6">
        <f t="shared" si="35"/>
        <v>65535</v>
      </c>
      <c r="F86" s="28">
        <f t="shared" si="36"/>
        <v>16711679</v>
      </c>
      <c r="G86" s="16" t="str">
        <f t="shared" si="37"/>
        <v>00FEFFFF</v>
      </c>
      <c r="H86" s="16">
        <f t="shared" si="38"/>
        <v>16646144</v>
      </c>
      <c r="I86" s="16">
        <v>1</v>
      </c>
      <c r="J86" s="16">
        <v>1</v>
      </c>
      <c r="K86" s="16">
        <v>1</v>
      </c>
      <c r="L86" s="16">
        <v>1</v>
      </c>
      <c r="M86" s="16">
        <v>1</v>
      </c>
      <c r="N86" s="16">
        <v>1</v>
      </c>
      <c r="O86" s="16">
        <v>1</v>
      </c>
      <c r="P86" s="16">
        <v>0</v>
      </c>
    </row>
    <row r="87" spans="3:16" x14ac:dyDescent="0.3">
      <c r="C87" s="16">
        <v>16</v>
      </c>
      <c r="D87" s="16" t="str">
        <f t="shared" si="34"/>
        <v>CSQDeselect</v>
      </c>
      <c r="E87" s="6">
        <f t="shared" si="35"/>
        <v>0</v>
      </c>
      <c r="F87" s="28">
        <f t="shared" si="36"/>
        <v>16580608</v>
      </c>
      <c r="G87" s="16" t="str">
        <f t="shared" si="37"/>
        <v>00FD0000</v>
      </c>
      <c r="H87" s="16">
        <f t="shared" si="38"/>
        <v>16580608</v>
      </c>
      <c r="I87" s="16">
        <v>1</v>
      </c>
      <c r="J87" s="16">
        <v>1</v>
      </c>
      <c r="K87" s="16">
        <v>1</v>
      </c>
      <c r="L87" s="16">
        <v>1</v>
      </c>
      <c r="M87" s="16">
        <v>1</v>
      </c>
      <c r="N87" s="16">
        <v>1</v>
      </c>
      <c r="O87" s="16">
        <v>0</v>
      </c>
      <c r="P87" s="16">
        <v>1</v>
      </c>
    </row>
    <row r="88" spans="3:16" x14ac:dyDescent="0.3">
      <c r="C88" s="16">
        <v>17</v>
      </c>
      <c r="D88" s="16" t="str">
        <f t="shared" si="34"/>
        <v>WriteCmd14</v>
      </c>
      <c r="E88" s="6">
        <f t="shared" si="35"/>
        <v>54784</v>
      </c>
      <c r="F88" s="28">
        <f t="shared" si="36"/>
        <v>16700928</v>
      </c>
      <c r="G88" s="16" t="str">
        <f t="shared" si="37"/>
        <v>00FED600</v>
      </c>
      <c r="H88" s="16">
        <f t="shared" si="38"/>
        <v>16646144</v>
      </c>
      <c r="I88" s="16">
        <v>1</v>
      </c>
      <c r="J88" s="16">
        <v>1</v>
      </c>
      <c r="K88" s="16">
        <v>1</v>
      </c>
      <c r="L88" s="16">
        <v>1</v>
      </c>
      <c r="M88" s="16">
        <v>1</v>
      </c>
      <c r="N88" s="16">
        <v>1</v>
      </c>
      <c r="O88" s="16">
        <v>1</v>
      </c>
      <c r="P88" s="16">
        <v>0</v>
      </c>
    </row>
    <row r="89" spans="3:16" x14ac:dyDescent="0.3">
      <c r="C89" s="16">
        <v>18</v>
      </c>
      <c r="D89" s="16" t="str">
        <f t="shared" si="34"/>
        <v>ReadIIFCNT</v>
      </c>
      <c r="E89" s="6">
        <f t="shared" si="35"/>
        <v>65535</v>
      </c>
      <c r="F89" s="28">
        <f t="shared" si="36"/>
        <v>16711679</v>
      </c>
      <c r="G89" s="16" t="str">
        <f t="shared" si="37"/>
        <v>00FEFFFF</v>
      </c>
      <c r="H89" s="16">
        <f t="shared" si="38"/>
        <v>16646144</v>
      </c>
      <c r="I89" s="16">
        <v>1</v>
      </c>
      <c r="J89" s="16">
        <v>1</v>
      </c>
      <c r="K89" s="16">
        <v>1</v>
      </c>
      <c r="L89" s="16">
        <v>1</v>
      </c>
      <c r="M89" s="16">
        <v>1</v>
      </c>
      <c r="N89" s="16">
        <v>1</v>
      </c>
      <c r="O89" s="16">
        <v>1</v>
      </c>
      <c r="P89" s="16">
        <v>0</v>
      </c>
    </row>
    <row r="90" spans="3:16" x14ac:dyDescent="0.3">
      <c r="C90" s="16">
        <v>19</v>
      </c>
      <c r="D90" s="16" t="str">
        <f t="shared" si="34"/>
        <v>CSQDeselect</v>
      </c>
      <c r="E90" s="6">
        <f t="shared" si="35"/>
        <v>0</v>
      </c>
      <c r="F90" s="28">
        <f t="shared" si="36"/>
        <v>16580608</v>
      </c>
      <c r="G90" s="16" t="str">
        <f t="shared" si="37"/>
        <v>00FD0000</v>
      </c>
      <c r="H90" s="16">
        <f t="shared" si="38"/>
        <v>16580608</v>
      </c>
      <c r="I90" s="16">
        <v>1</v>
      </c>
      <c r="J90" s="16">
        <v>1</v>
      </c>
      <c r="K90" s="16">
        <v>1</v>
      </c>
      <c r="L90" s="16">
        <v>1</v>
      </c>
      <c r="M90" s="16">
        <v>1</v>
      </c>
      <c r="N90" s="16">
        <v>1</v>
      </c>
      <c r="O90" s="16">
        <v>0</v>
      </c>
      <c r="P90" s="16">
        <v>1</v>
      </c>
    </row>
    <row r="91" spans="3:16" x14ac:dyDescent="0.3">
      <c r="C91" s="16">
        <v>20</v>
      </c>
      <c r="E91" s="6"/>
    </row>
    <row r="92" spans="3:16" x14ac:dyDescent="0.3">
      <c r="C92" s="16">
        <v>21</v>
      </c>
      <c r="E92" s="6"/>
    </row>
    <row r="93" spans="3:16" x14ac:dyDescent="0.3">
      <c r="C93" s="16">
        <v>22</v>
      </c>
      <c r="E93" s="6"/>
    </row>
    <row r="94" spans="3:16" x14ac:dyDescent="0.3">
      <c r="C94" s="16">
        <v>23</v>
      </c>
      <c r="E94" s="6"/>
    </row>
    <row r="95" spans="3:16" x14ac:dyDescent="0.3">
      <c r="C95" s="16">
        <v>24</v>
      </c>
      <c r="E95" s="6"/>
    </row>
    <row r="96" spans="3:16" x14ac:dyDescent="0.3">
      <c r="C96" s="16">
        <v>25</v>
      </c>
      <c r="E96" s="6"/>
    </row>
    <row r="97" spans="3:5" x14ac:dyDescent="0.3">
      <c r="C97" s="16">
        <v>26</v>
      </c>
      <c r="E97" s="6"/>
    </row>
    <row r="98" spans="3:5" x14ac:dyDescent="0.3">
      <c r="C98" s="16">
        <v>27</v>
      </c>
      <c r="E98" s="6"/>
    </row>
    <row r="99" spans="3:5" x14ac:dyDescent="0.3">
      <c r="C99" s="16">
        <v>28</v>
      </c>
      <c r="E99" s="6"/>
    </row>
    <row r="100" spans="3:5" x14ac:dyDescent="0.3">
      <c r="C100" s="16">
        <v>29</v>
      </c>
      <c r="E100" s="6"/>
    </row>
    <row r="101" spans="3:5" x14ac:dyDescent="0.3">
      <c r="C101" s="16">
        <v>30</v>
      </c>
      <c r="E101" s="6"/>
    </row>
    <row r="102" spans="3:5" x14ac:dyDescent="0.3">
      <c r="C102" s="16">
        <v>31</v>
      </c>
      <c r="E102" s="6"/>
    </row>
    <row r="103" spans="3:5" x14ac:dyDescent="0.3">
      <c r="C103" s="16">
        <v>32</v>
      </c>
      <c r="E103" s="6"/>
    </row>
    <row r="104" spans="3:5" x14ac:dyDescent="0.3">
      <c r="C104" s="16">
        <v>33</v>
      </c>
      <c r="E104" s="6"/>
    </row>
    <row r="105" spans="3:5" x14ac:dyDescent="0.3">
      <c r="C105" s="16">
        <v>34</v>
      </c>
      <c r="E105" s="6"/>
    </row>
    <row r="106" spans="3:5" x14ac:dyDescent="0.3">
      <c r="C106" s="16">
        <v>35</v>
      </c>
      <c r="E106" s="6"/>
    </row>
    <row r="107" spans="3:5" x14ac:dyDescent="0.3">
      <c r="C107" s="16">
        <v>36</v>
      </c>
      <c r="E107" s="6"/>
    </row>
    <row r="108" spans="3:5" x14ac:dyDescent="0.3">
      <c r="C108" s="16">
        <v>37</v>
      </c>
      <c r="E108" s="6"/>
    </row>
    <row r="109" spans="3:5" x14ac:dyDescent="0.3">
      <c r="C109" s="16">
        <v>38</v>
      </c>
      <c r="E109" s="6"/>
    </row>
    <row r="110" spans="3:5" x14ac:dyDescent="0.3">
      <c r="C110" s="16">
        <v>39</v>
      </c>
      <c r="E110" s="6"/>
    </row>
    <row r="111" spans="3:5" x14ac:dyDescent="0.3">
      <c r="C111" s="16">
        <v>40</v>
      </c>
      <c r="E111" s="6"/>
    </row>
    <row r="112" spans="3:5" x14ac:dyDescent="0.3">
      <c r="C112" s="16">
        <v>41</v>
      </c>
      <c r="E112" s="6"/>
    </row>
    <row r="113" spans="3:16" x14ac:dyDescent="0.3">
      <c r="C113" s="16">
        <v>42</v>
      </c>
      <c r="E113" s="6"/>
    </row>
    <row r="114" spans="3:16" x14ac:dyDescent="0.3">
      <c r="C114" s="16">
        <v>43</v>
      </c>
      <c r="E114" s="6"/>
    </row>
    <row r="115" spans="3:16" x14ac:dyDescent="0.3">
      <c r="C115" s="18">
        <v>44</v>
      </c>
      <c r="E115" s="6"/>
      <c r="O115" s="27"/>
      <c r="P115" s="27"/>
    </row>
    <row r="116" spans="3:16" x14ac:dyDescent="0.3">
      <c r="C116" s="16">
        <v>45</v>
      </c>
      <c r="E116" s="6"/>
    </row>
    <row r="117" spans="3:16" x14ac:dyDescent="0.3">
      <c r="C117" s="16">
        <v>46</v>
      </c>
      <c r="E117" s="6"/>
    </row>
    <row r="118" spans="3:16" x14ac:dyDescent="0.3">
      <c r="C118" s="16">
        <v>47</v>
      </c>
      <c r="E118" s="6"/>
    </row>
    <row r="119" spans="3:16" x14ac:dyDescent="0.3">
      <c r="C119" s="16">
        <v>48</v>
      </c>
      <c r="E119" s="6"/>
    </row>
    <row r="120" spans="3:16" x14ac:dyDescent="0.3">
      <c r="C120" s="16">
        <v>49</v>
      </c>
      <c r="E120" s="6"/>
    </row>
    <row r="121" spans="3:16" x14ac:dyDescent="0.3">
      <c r="C121" s="16">
        <v>50</v>
      </c>
      <c r="E121" s="6"/>
    </row>
    <row r="122" spans="3:16" x14ac:dyDescent="0.3">
      <c r="C122" s="16">
        <v>51</v>
      </c>
      <c r="E122" s="6"/>
    </row>
    <row r="123" spans="3:16" x14ac:dyDescent="0.3">
      <c r="C123" s="16">
        <v>52</v>
      </c>
      <c r="E123" s="6"/>
    </row>
    <row r="124" spans="3:16" x14ac:dyDescent="0.3">
      <c r="C124" s="16">
        <v>53</v>
      </c>
      <c r="E124" s="6"/>
    </row>
    <row r="125" spans="3:16" x14ac:dyDescent="0.3">
      <c r="C125" s="16">
        <v>54</v>
      </c>
      <c r="E125" s="6"/>
    </row>
    <row r="126" spans="3:16" x14ac:dyDescent="0.3">
      <c r="C126" s="16">
        <v>55</v>
      </c>
      <c r="E126" s="6"/>
    </row>
    <row r="127" spans="3:16" x14ac:dyDescent="0.3">
      <c r="C127" s="16">
        <v>56</v>
      </c>
      <c r="E127" s="6"/>
    </row>
    <row r="128" spans="3:16" x14ac:dyDescent="0.3">
      <c r="C128" s="16">
        <v>57</v>
      </c>
      <c r="E128" s="6"/>
    </row>
    <row r="129" spans="3:5" x14ac:dyDescent="0.3">
      <c r="C129" s="16">
        <v>58</v>
      </c>
      <c r="E129" s="6"/>
    </row>
    <row r="130" spans="3:5" x14ac:dyDescent="0.3">
      <c r="C130" s="16">
        <v>59</v>
      </c>
      <c r="E130" s="6"/>
    </row>
    <row r="131" spans="3:5" x14ac:dyDescent="0.3">
      <c r="C131" s="16">
        <v>60</v>
      </c>
      <c r="E131" s="6"/>
    </row>
    <row r="132" spans="3:5" x14ac:dyDescent="0.3">
      <c r="C132" s="16">
        <v>61</v>
      </c>
      <c r="E132" s="6"/>
    </row>
    <row r="133" spans="3:5" x14ac:dyDescent="0.3">
      <c r="C133" s="16">
        <v>62</v>
      </c>
      <c r="E133" s="6"/>
    </row>
    <row r="134" spans="3:5" x14ac:dyDescent="0.3">
      <c r="C134" s="16">
        <v>63</v>
      </c>
      <c r="E134" s="6"/>
    </row>
    <row r="154" spans="5:5" x14ac:dyDescent="0.3">
      <c r="E154" s="6"/>
    </row>
    <row r="155" spans="5:5" x14ac:dyDescent="0.3">
      <c r="E155" s="6"/>
    </row>
    <row r="156" spans="5:5" x14ac:dyDescent="0.3">
      <c r="E156" s="6"/>
    </row>
    <row r="157" spans="5:5" x14ac:dyDescent="0.3">
      <c r="E157" s="6"/>
    </row>
    <row r="158" spans="5:5" x14ac:dyDescent="0.3">
      <c r="E158" s="6"/>
    </row>
    <row r="159" spans="5:5" x14ac:dyDescent="0.3">
      <c r="E159" s="6"/>
    </row>
    <row r="160" spans="5:5" x14ac:dyDescent="0.3">
      <c r="E160" s="6"/>
    </row>
    <row r="161" spans="5:5" x14ac:dyDescent="0.3">
      <c r="E161" s="6"/>
    </row>
    <row r="162" spans="5:5" x14ac:dyDescent="0.3">
      <c r="E162" s="6"/>
    </row>
    <row r="163" spans="5:5" x14ac:dyDescent="0.3">
      <c r="E163" s="6"/>
    </row>
    <row r="164" spans="5:5" x14ac:dyDescent="0.3">
      <c r="E164" s="6"/>
    </row>
    <row r="165" spans="5:5" x14ac:dyDescent="0.3">
      <c r="E165" s="6"/>
    </row>
    <row r="166" spans="5:5" x14ac:dyDescent="0.3">
      <c r="E166" s="6"/>
    </row>
    <row r="167" spans="5:5" x14ac:dyDescent="0.3">
      <c r="E167" s="6"/>
    </row>
    <row r="168" spans="5:5" x14ac:dyDescent="0.3">
      <c r="E168" s="6"/>
    </row>
    <row r="169" spans="5:5" x14ac:dyDescent="0.3">
      <c r="E169" s="6"/>
    </row>
    <row r="170" spans="5:5" x14ac:dyDescent="0.3">
      <c r="E170" s="6"/>
    </row>
    <row r="171" spans="5:5" x14ac:dyDescent="0.3">
      <c r="E171" s="6"/>
    </row>
    <row r="172" spans="5:5" x14ac:dyDescent="0.3">
      <c r="E172" s="6"/>
    </row>
    <row r="173" spans="5:5" x14ac:dyDescent="0.3">
      <c r="E173" s="6"/>
    </row>
    <row r="174" spans="5:5" x14ac:dyDescent="0.3">
      <c r="E174" s="6"/>
    </row>
    <row r="175" spans="5:5" x14ac:dyDescent="0.3">
      <c r="E175" s="6"/>
    </row>
    <row r="176" spans="5:5" x14ac:dyDescent="0.3">
      <c r="E176" s="6"/>
    </row>
    <row r="177" spans="5:5" x14ac:dyDescent="0.3">
      <c r="E177" s="6"/>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H6:AF41"/>
  <sheetViews>
    <sheetView topLeftCell="L1" zoomScaleNormal="100" workbookViewId="0">
      <selection activeCell="AB25" sqref="AB25"/>
    </sheetView>
  </sheetViews>
  <sheetFormatPr defaultRowHeight="14.4" x14ac:dyDescent="0.3"/>
  <cols>
    <col min="11" max="11" width="17.109375" customWidth="1"/>
    <col min="17" max="17" width="21.6640625" customWidth="1"/>
  </cols>
  <sheetData>
    <row r="6" spans="8:27" x14ac:dyDescent="0.3">
      <c r="H6" s="1"/>
      <c r="I6" s="1" t="s">
        <v>494</v>
      </c>
      <c r="J6" s="1"/>
      <c r="K6" s="1"/>
      <c r="L6" s="1"/>
      <c r="M6" s="1"/>
      <c r="N6" s="1"/>
      <c r="O6" s="1"/>
      <c r="P6" s="1"/>
      <c r="Q6" s="1"/>
      <c r="R6" s="1"/>
      <c r="S6" s="1"/>
      <c r="T6" s="1"/>
      <c r="U6" s="1"/>
    </row>
    <row r="7" spans="8:27" x14ac:dyDescent="0.3">
      <c r="H7" s="1"/>
      <c r="I7" s="1"/>
      <c r="J7" s="1"/>
      <c r="K7" s="1"/>
      <c r="L7" s="1"/>
      <c r="M7" s="1"/>
      <c r="N7" s="1"/>
      <c r="O7" s="1"/>
      <c r="P7" s="1"/>
      <c r="Q7" s="1"/>
      <c r="R7" s="1"/>
      <c r="S7" s="1"/>
      <c r="T7" s="1"/>
      <c r="U7" s="1"/>
    </row>
    <row r="8" spans="8:27" x14ac:dyDescent="0.3">
      <c r="H8" s="1"/>
      <c r="I8" s="1" t="s">
        <v>0</v>
      </c>
      <c r="J8" s="1" t="s">
        <v>2</v>
      </c>
      <c r="K8" s="2" t="s">
        <v>386</v>
      </c>
      <c r="L8" s="1"/>
      <c r="M8" s="1"/>
      <c r="N8" s="1"/>
      <c r="O8" s="1"/>
      <c r="P8" s="1"/>
      <c r="Q8" s="1"/>
      <c r="R8" s="1"/>
      <c r="S8" s="1"/>
      <c r="T8" s="1"/>
      <c r="U8" s="1"/>
    </row>
    <row r="9" spans="8:27" x14ac:dyDescent="0.3">
      <c r="H9" s="1"/>
      <c r="I9" s="1">
        <v>0</v>
      </c>
      <c r="J9" s="1" t="s">
        <v>495</v>
      </c>
      <c r="K9" s="1" t="s">
        <v>496</v>
      </c>
      <c r="L9" s="1"/>
      <c r="M9" s="1"/>
      <c r="N9" s="1"/>
      <c r="O9" s="1"/>
      <c r="P9" s="1"/>
      <c r="Q9" s="1"/>
      <c r="R9" s="1"/>
      <c r="S9" s="1"/>
      <c r="T9" s="1"/>
      <c r="U9" s="1"/>
    </row>
    <row r="10" spans="8:27" x14ac:dyDescent="0.3">
      <c r="H10" s="1"/>
      <c r="I10" s="1"/>
      <c r="J10" s="1" t="s">
        <v>497</v>
      </c>
      <c r="K10" s="1" t="s">
        <v>387</v>
      </c>
      <c r="L10" s="1"/>
      <c r="M10" s="1"/>
      <c r="N10" s="1"/>
      <c r="O10" s="1"/>
      <c r="P10" s="1"/>
      <c r="Q10" s="1"/>
      <c r="R10" s="1"/>
      <c r="S10" s="1"/>
      <c r="T10" s="1"/>
      <c r="U10" s="1"/>
    </row>
    <row r="11" spans="8:27" x14ac:dyDescent="0.3">
      <c r="H11" s="1"/>
      <c r="I11" s="1">
        <v>1</v>
      </c>
      <c r="J11" s="1" t="s">
        <v>495</v>
      </c>
      <c r="K11" s="1" t="s">
        <v>496</v>
      </c>
      <c r="L11" s="1"/>
      <c r="M11" s="1"/>
      <c r="N11" s="1"/>
      <c r="O11" s="1"/>
      <c r="P11" s="1"/>
      <c r="Q11" s="1"/>
      <c r="R11" s="1"/>
      <c r="S11" s="1"/>
      <c r="T11" s="1"/>
      <c r="U11" s="1"/>
    </row>
    <row r="12" spans="8:27" x14ac:dyDescent="0.3">
      <c r="H12" s="1"/>
      <c r="I12" s="1"/>
      <c r="J12" s="1" t="s">
        <v>498</v>
      </c>
      <c r="K12" s="1" t="s">
        <v>387</v>
      </c>
      <c r="L12" s="1"/>
      <c r="M12" s="1"/>
      <c r="N12" s="1"/>
      <c r="O12" s="1"/>
      <c r="P12" s="1"/>
      <c r="Q12" s="1"/>
      <c r="R12" s="1"/>
      <c r="S12" s="1"/>
      <c r="T12" s="1"/>
      <c r="U12" s="1"/>
    </row>
    <row r="13" spans="8:27" x14ac:dyDescent="0.3">
      <c r="H13" s="1"/>
      <c r="I13" s="1">
        <v>2</v>
      </c>
      <c r="J13" s="1" t="s">
        <v>495</v>
      </c>
      <c r="K13" s="1" t="s">
        <v>496</v>
      </c>
      <c r="L13" s="1"/>
      <c r="M13" s="1"/>
      <c r="N13" s="1"/>
      <c r="O13" s="1"/>
      <c r="P13" s="1"/>
      <c r="Q13" s="1"/>
      <c r="R13" s="1"/>
      <c r="S13" s="1"/>
      <c r="T13" s="1"/>
      <c r="U13" s="1"/>
    </row>
    <row r="14" spans="8:27" x14ac:dyDescent="0.3">
      <c r="H14" s="1"/>
      <c r="I14" s="1"/>
      <c r="J14" s="1" t="s">
        <v>499</v>
      </c>
      <c r="K14" s="1" t="s">
        <v>387</v>
      </c>
      <c r="L14" s="1"/>
      <c r="M14" s="1"/>
      <c r="N14" s="1"/>
      <c r="O14" s="1"/>
      <c r="P14" s="1"/>
      <c r="Q14" s="1"/>
      <c r="R14" s="1"/>
      <c r="S14" s="1"/>
      <c r="T14" s="1"/>
      <c r="U14" s="1"/>
    </row>
    <row r="15" spans="8:27" x14ac:dyDescent="0.3">
      <c r="H15" s="1"/>
      <c r="I15" s="1">
        <v>3</v>
      </c>
      <c r="J15" s="1" t="s">
        <v>495</v>
      </c>
      <c r="K15" s="1" t="s">
        <v>496</v>
      </c>
      <c r="L15" s="1"/>
      <c r="M15" s="1"/>
      <c r="N15" s="1"/>
      <c r="O15" s="1"/>
      <c r="P15" s="1"/>
      <c r="Q15" s="1"/>
      <c r="R15" s="1"/>
      <c r="S15" s="1"/>
      <c r="T15" s="1"/>
      <c r="U15" s="1"/>
      <c r="AA15" t="s">
        <v>537</v>
      </c>
    </row>
    <row r="16" spans="8:27" x14ac:dyDescent="0.3">
      <c r="H16" s="1"/>
      <c r="I16" s="1"/>
      <c r="J16" s="1" t="s">
        <v>500</v>
      </c>
      <c r="K16" s="1" t="s">
        <v>387</v>
      </c>
      <c r="L16" s="1"/>
      <c r="M16" s="1"/>
      <c r="N16" s="1"/>
      <c r="O16" s="1"/>
      <c r="P16" s="1"/>
      <c r="Q16" s="1"/>
      <c r="R16" s="1"/>
      <c r="S16" s="1"/>
      <c r="T16" s="1"/>
      <c r="U16" s="1"/>
      <c r="AA16" t="s">
        <v>544</v>
      </c>
    </row>
    <row r="17" spans="8:32" x14ac:dyDescent="0.3">
      <c r="H17" s="1" t="s">
        <v>501</v>
      </c>
      <c r="I17" s="1">
        <v>4</v>
      </c>
      <c r="J17" s="1" t="s">
        <v>495</v>
      </c>
      <c r="K17" s="1" t="s">
        <v>496</v>
      </c>
      <c r="L17" s="1"/>
      <c r="M17" s="1"/>
      <c r="N17" s="1"/>
      <c r="O17" s="1"/>
      <c r="P17" s="1"/>
      <c r="Q17" s="1"/>
      <c r="R17" s="1"/>
      <c r="S17" s="1"/>
      <c r="T17" s="1"/>
      <c r="U17" s="1"/>
    </row>
    <row r="18" spans="8:32" x14ac:dyDescent="0.3">
      <c r="H18" s="1"/>
      <c r="I18" s="1"/>
      <c r="J18" s="1" t="s">
        <v>502</v>
      </c>
      <c r="K18" s="1" t="s">
        <v>387</v>
      </c>
      <c r="L18" s="1"/>
      <c r="M18" s="1"/>
      <c r="N18" s="1"/>
      <c r="O18" s="1"/>
      <c r="P18" s="1"/>
      <c r="Q18" s="1"/>
      <c r="R18" s="1"/>
      <c r="S18" s="1"/>
      <c r="T18" s="1"/>
      <c r="U18" s="1"/>
    </row>
    <row r="19" spans="8:32" x14ac:dyDescent="0.3">
      <c r="H19" s="1"/>
      <c r="I19" s="1"/>
      <c r="J19" s="1"/>
      <c r="K19" s="1"/>
      <c r="L19" s="1"/>
      <c r="M19" s="1"/>
      <c r="N19" s="1"/>
      <c r="O19" s="1"/>
      <c r="P19" s="1"/>
      <c r="Q19" s="1"/>
      <c r="R19" s="1"/>
      <c r="S19" s="1"/>
      <c r="T19" s="1"/>
      <c r="U19" s="1"/>
      <c r="AA19" t="s">
        <v>540</v>
      </c>
      <c r="AB19" t="s">
        <v>538</v>
      </c>
      <c r="AC19" t="s">
        <v>542</v>
      </c>
      <c r="AE19" t="s">
        <v>539</v>
      </c>
      <c r="AF19" t="s">
        <v>543</v>
      </c>
    </row>
    <row r="20" spans="8:32" x14ac:dyDescent="0.3">
      <c r="H20" s="1"/>
      <c r="I20" s="1"/>
      <c r="J20" s="1"/>
      <c r="K20" s="1"/>
      <c r="L20" s="1"/>
      <c r="M20" s="1"/>
      <c r="N20" s="1"/>
      <c r="O20" s="1"/>
      <c r="P20" s="1"/>
      <c r="Q20" s="1"/>
      <c r="R20" s="1"/>
      <c r="S20" s="1"/>
      <c r="T20" s="1"/>
      <c r="U20" s="1"/>
      <c r="AA20" t="s">
        <v>541</v>
      </c>
      <c r="AB20" t="s">
        <v>538</v>
      </c>
      <c r="AC20" t="s">
        <v>543</v>
      </c>
      <c r="AE20" t="s">
        <v>539</v>
      </c>
      <c r="AF20" t="s">
        <v>542</v>
      </c>
    </row>
    <row r="21" spans="8:32" x14ac:dyDescent="0.3">
      <c r="H21" s="1"/>
      <c r="I21" s="1" t="s">
        <v>503</v>
      </c>
      <c r="J21" s="1"/>
      <c r="K21" s="1"/>
      <c r="L21" s="1"/>
      <c r="M21" s="1"/>
      <c r="N21" s="1"/>
      <c r="O21" s="1"/>
      <c r="P21" s="1"/>
      <c r="Q21" s="1"/>
      <c r="R21" s="1"/>
      <c r="S21" s="1"/>
      <c r="T21" s="1"/>
      <c r="U21" s="1"/>
    </row>
    <row r="22" spans="8:32" x14ac:dyDescent="0.3">
      <c r="H22" s="1"/>
      <c r="I22" s="1"/>
      <c r="J22" s="1"/>
      <c r="K22" s="1"/>
      <c r="L22" s="1"/>
      <c r="M22" s="1"/>
      <c r="N22" s="1"/>
      <c r="O22" s="1"/>
      <c r="P22" s="1"/>
      <c r="Q22" s="1"/>
      <c r="R22" s="1"/>
      <c r="S22" s="1"/>
      <c r="T22" s="1"/>
      <c r="U22" s="1"/>
    </row>
    <row r="23" spans="8:32" x14ac:dyDescent="0.3">
      <c r="H23" s="1"/>
      <c r="I23" s="1" t="s">
        <v>0</v>
      </c>
      <c r="J23" s="1" t="s">
        <v>2</v>
      </c>
      <c r="K23" s="2" t="s">
        <v>386</v>
      </c>
      <c r="L23" s="1"/>
      <c r="M23" s="1"/>
      <c r="N23" s="1"/>
      <c r="O23" s="1"/>
      <c r="P23" s="1"/>
      <c r="Q23" s="2"/>
      <c r="R23" s="1"/>
      <c r="S23" s="1"/>
      <c r="T23" s="1"/>
      <c r="U23" s="1"/>
    </row>
    <row r="24" spans="8:32" x14ac:dyDescent="0.3">
      <c r="H24" s="1"/>
      <c r="I24" s="1">
        <v>0</v>
      </c>
      <c r="J24" s="1" t="s">
        <v>495</v>
      </c>
      <c r="K24" s="1" t="s">
        <v>504</v>
      </c>
      <c r="L24" s="1"/>
      <c r="M24" s="1"/>
      <c r="N24" s="1"/>
      <c r="O24" s="1"/>
      <c r="P24" s="1"/>
      <c r="Q24" s="1"/>
      <c r="R24" s="1"/>
      <c r="S24" s="1"/>
      <c r="T24" s="1"/>
      <c r="U24" s="1"/>
    </row>
    <row r="25" spans="8:32" x14ac:dyDescent="0.3">
      <c r="H25" s="1"/>
      <c r="I25" s="1"/>
      <c r="J25" s="1" t="s">
        <v>505</v>
      </c>
      <c r="K25" s="1" t="s">
        <v>506</v>
      </c>
      <c r="L25" s="1"/>
      <c r="M25" s="1"/>
      <c r="N25" s="1"/>
      <c r="O25" s="1"/>
      <c r="P25" s="1"/>
      <c r="Q25" s="1"/>
      <c r="R25" s="1"/>
      <c r="S25" s="1"/>
      <c r="T25" s="1"/>
      <c r="U25" s="1"/>
    </row>
    <row r="26" spans="8:32" x14ac:dyDescent="0.3">
      <c r="H26" s="1"/>
      <c r="I26" s="1"/>
      <c r="J26" s="1" t="s">
        <v>507</v>
      </c>
      <c r="K26" s="1" t="s">
        <v>508</v>
      </c>
      <c r="L26" s="1"/>
      <c r="M26" s="1"/>
      <c r="N26" s="1"/>
      <c r="O26" s="1"/>
      <c r="P26" s="1"/>
      <c r="Q26" s="1"/>
      <c r="R26" s="1"/>
      <c r="S26" s="1"/>
      <c r="T26" s="1"/>
      <c r="U26" s="1"/>
    </row>
    <row r="27" spans="8:32" x14ac:dyDescent="0.3">
      <c r="H27" s="1"/>
      <c r="I27" s="1"/>
      <c r="J27" s="1"/>
      <c r="K27" s="1"/>
      <c r="L27" s="1"/>
      <c r="M27" s="1"/>
      <c r="N27" s="1"/>
      <c r="O27" s="1"/>
      <c r="P27" s="1"/>
      <c r="Q27" s="1"/>
      <c r="R27" s="1"/>
      <c r="S27" s="1"/>
      <c r="T27" s="1"/>
      <c r="U27" s="1"/>
    </row>
    <row r="28" spans="8:32" x14ac:dyDescent="0.3">
      <c r="H28" s="1"/>
      <c r="I28" s="1"/>
      <c r="J28" s="1"/>
      <c r="K28" s="1"/>
      <c r="L28" s="1"/>
      <c r="M28" s="1"/>
      <c r="N28" s="1"/>
      <c r="O28" s="1"/>
      <c r="P28" s="1"/>
      <c r="Q28" s="1"/>
      <c r="R28" s="1"/>
      <c r="S28" s="1"/>
      <c r="T28" s="1"/>
      <c r="U28" s="1"/>
    </row>
    <row r="29" spans="8:32" x14ac:dyDescent="0.3">
      <c r="H29" s="1"/>
      <c r="I29" s="1">
        <v>1</v>
      </c>
      <c r="J29" s="1" t="s">
        <v>495</v>
      </c>
      <c r="K29" s="1" t="s">
        <v>504</v>
      </c>
      <c r="L29" s="1"/>
      <c r="M29" s="1"/>
      <c r="N29" s="1"/>
      <c r="O29" s="1"/>
      <c r="P29" s="1"/>
      <c r="Q29" s="1"/>
      <c r="R29" s="1"/>
      <c r="S29" s="1"/>
      <c r="T29" s="1"/>
      <c r="U29" s="1"/>
    </row>
    <row r="30" spans="8:32" x14ac:dyDescent="0.3">
      <c r="H30" s="1"/>
      <c r="I30" s="1"/>
      <c r="J30" s="1" t="s">
        <v>505</v>
      </c>
      <c r="K30" s="1" t="s">
        <v>506</v>
      </c>
      <c r="L30" s="1"/>
      <c r="M30" s="1"/>
      <c r="N30" s="1"/>
      <c r="O30" s="1"/>
      <c r="P30" s="1"/>
      <c r="Q30" s="1"/>
      <c r="R30" s="1"/>
      <c r="S30" s="1"/>
      <c r="T30" s="1"/>
      <c r="U30" s="1"/>
    </row>
    <row r="31" spans="8:32" x14ac:dyDescent="0.3">
      <c r="H31" s="1"/>
      <c r="I31" s="1"/>
      <c r="J31" s="1" t="s">
        <v>507</v>
      </c>
      <c r="K31" s="1" t="s">
        <v>508</v>
      </c>
      <c r="L31" s="1"/>
      <c r="M31" s="1"/>
      <c r="N31" s="1"/>
      <c r="O31" s="1"/>
      <c r="P31" s="1"/>
      <c r="Q31" s="1"/>
      <c r="R31" s="1"/>
      <c r="S31" s="1"/>
      <c r="T31" s="1"/>
      <c r="U31" s="1"/>
    </row>
    <row r="32" spans="8:32" x14ac:dyDescent="0.3">
      <c r="H32" s="1"/>
      <c r="I32" s="1"/>
      <c r="J32" s="1"/>
      <c r="K32" s="1"/>
      <c r="L32" s="1"/>
      <c r="M32" s="1"/>
      <c r="N32" s="1"/>
      <c r="O32" s="1"/>
      <c r="P32" s="1"/>
      <c r="Q32" s="1"/>
      <c r="R32" s="1"/>
      <c r="S32" s="1"/>
      <c r="T32" s="1"/>
      <c r="U32" s="1"/>
    </row>
    <row r="33" spans="8:21" x14ac:dyDescent="0.3">
      <c r="H33" s="1"/>
      <c r="I33" s="1"/>
      <c r="J33" s="1"/>
      <c r="K33" s="1"/>
      <c r="L33" s="1"/>
      <c r="M33" s="1"/>
      <c r="N33" s="1"/>
      <c r="O33" s="1"/>
      <c r="P33" s="1"/>
      <c r="Q33" s="1"/>
      <c r="R33" s="1"/>
      <c r="S33" s="1"/>
      <c r="T33" s="1"/>
      <c r="U33" s="1"/>
    </row>
    <row r="34" spans="8:21" x14ac:dyDescent="0.3">
      <c r="H34" s="1"/>
      <c r="I34" s="1">
        <v>2</v>
      </c>
      <c r="J34" s="1" t="s">
        <v>495</v>
      </c>
      <c r="K34" s="1" t="s">
        <v>504</v>
      </c>
      <c r="L34" s="1"/>
      <c r="M34" s="1"/>
      <c r="N34" s="1"/>
      <c r="O34" s="1"/>
      <c r="P34" s="1"/>
      <c r="Q34" s="1"/>
      <c r="R34" s="1"/>
      <c r="S34" s="1"/>
      <c r="T34" s="1"/>
      <c r="U34" s="1"/>
    </row>
    <row r="35" spans="8:21" x14ac:dyDescent="0.3">
      <c r="H35" s="1"/>
      <c r="I35" s="1"/>
      <c r="J35" s="1" t="s">
        <v>505</v>
      </c>
      <c r="K35" s="1" t="s">
        <v>506</v>
      </c>
      <c r="L35" s="1"/>
      <c r="M35" s="1"/>
      <c r="N35" s="1"/>
      <c r="O35" s="1"/>
      <c r="P35" s="1"/>
      <c r="Q35" s="1"/>
      <c r="R35" s="1"/>
      <c r="S35" s="1"/>
      <c r="T35" s="1"/>
      <c r="U35" s="1"/>
    </row>
    <row r="36" spans="8:21" x14ac:dyDescent="0.3">
      <c r="H36" s="1"/>
      <c r="I36" s="1"/>
      <c r="J36" s="1" t="s">
        <v>507</v>
      </c>
      <c r="K36" s="1" t="s">
        <v>508</v>
      </c>
      <c r="L36" s="1"/>
      <c r="M36" s="1"/>
      <c r="N36" s="1"/>
      <c r="O36" s="1"/>
      <c r="P36" s="1"/>
      <c r="Q36" s="1"/>
      <c r="R36" s="1"/>
      <c r="S36" s="1"/>
      <c r="T36" s="1"/>
      <c r="U36" s="1"/>
    </row>
    <row r="37" spans="8:21" x14ac:dyDescent="0.3">
      <c r="H37" s="1"/>
      <c r="I37" s="1"/>
      <c r="J37" s="1"/>
      <c r="K37" s="1"/>
      <c r="L37" s="1"/>
      <c r="M37" s="1"/>
      <c r="N37" s="1"/>
      <c r="O37" s="1"/>
      <c r="P37" s="1"/>
      <c r="Q37" s="1"/>
      <c r="R37" s="1"/>
      <c r="S37" s="1"/>
      <c r="T37" s="1"/>
      <c r="U37" s="1"/>
    </row>
    <row r="38" spans="8:21" x14ac:dyDescent="0.3">
      <c r="H38" s="1"/>
      <c r="I38" s="1"/>
      <c r="J38" s="1"/>
      <c r="K38" s="1"/>
      <c r="L38" s="1"/>
      <c r="M38" s="1"/>
      <c r="N38" s="1"/>
      <c r="O38" s="1"/>
      <c r="P38" s="1"/>
      <c r="Q38" s="1"/>
      <c r="R38" s="1"/>
      <c r="S38" s="1"/>
      <c r="T38" s="1"/>
      <c r="U38" s="1"/>
    </row>
    <row r="39" spans="8:21" x14ac:dyDescent="0.3">
      <c r="H39" s="1" t="s">
        <v>501</v>
      </c>
      <c r="I39" s="1">
        <v>3</v>
      </c>
      <c r="J39" s="1" t="s">
        <v>495</v>
      </c>
      <c r="K39" s="1" t="s">
        <v>504</v>
      </c>
      <c r="L39" s="1"/>
      <c r="M39" s="1"/>
      <c r="N39" s="1"/>
      <c r="O39" s="1"/>
      <c r="P39" s="1"/>
      <c r="Q39" s="1"/>
      <c r="R39" s="1"/>
      <c r="S39" s="1"/>
      <c r="T39" s="1"/>
      <c r="U39" s="1"/>
    </row>
    <row r="40" spans="8:21" x14ac:dyDescent="0.3">
      <c r="H40" s="1"/>
      <c r="I40" s="1"/>
      <c r="J40" s="1" t="s">
        <v>505</v>
      </c>
      <c r="K40" s="1" t="s">
        <v>506</v>
      </c>
      <c r="L40" s="1"/>
      <c r="M40" s="1"/>
      <c r="N40" s="1"/>
      <c r="O40" s="1"/>
      <c r="P40" s="1"/>
      <c r="Q40" s="1"/>
      <c r="R40" s="1"/>
      <c r="S40" s="1"/>
      <c r="T40" s="1"/>
      <c r="U40" s="1"/>
    </row>
    <row r="41" spans="8:21" x14ac:dyDescent="0.3">
      <c r="H41" s="1"/>
      <c r="I41" s="1"/>
      <c r="J41" s="1" t="s">
        <v>507</v>
      </c>
      <c r="K41" s="1" t="s">
        <v>508</v>
      </c>
      <c r="L41" s="1"/>
      <c r="M41" s="1"/>
      <c r="N41" s="1"/>
      <c r="O41" s="1"/>
      <c r="P41" s="1"/>
      <c r="Q41" s="1"/>
      <c r="R41" s="1"/>
      <c r="S41" s="1"/>
      <c r="T41" s="1"/>
      <c r="U41" s="1"/>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RegisterConfig</vt:lpstr>
      <vt:lpstr>Buffer</vt:lpstr>
      <vt:lpstr>Reference 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Peddi, Vinod</dc:creator>
  <cp:lastModifiedBy>Peddi, Vinod</cp:lastModifiedBy>
  <dcterms:created xsi:type="dcterms:W3CDTF">2006-09-16T00:00:00Z</dcterms:created>
  <dcterms:modified xsi:type="dcterms:W3CDTF">2016-12-19T14:46:47Z</dcterms:modified>
</cp:coreProperties>
</file>