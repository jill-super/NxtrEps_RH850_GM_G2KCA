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900" windowWidth="11916" windowHeight="12516" tabRatio="837" activeTab="5"/>
  </bookViews>
  <sheets>
    <sheet name="HSI" sheetId="2" r:id="rId1"/>
    <sheet name="Adc0_MotCtrl" sheetId="3" r:id="rId2"/>
    <sheet name="Adc1_2mSec" sheetId="4" r:id="rId3"/>
    <sheet name="TSG31" sheetId="5" r:id="rId4"/>
    <sheet name="DMA" sheetId="6" r:id="rId5"/>
    <sheet name="NTCs" sheetId="8" r:id="rId6"/>
  </sheets>
  <functionGroups builtInGroupCount="17"/>
  <definedNames>
    <definedName name="_xlnm._FilterDatabase" localSheetId="5" hidden="1">NTCs!$A$2:$F$14</definedName>
  </definedNames>
  <calcPr calcId="145621"/>
  <customWorkbookViews>
    <customWorkbookView name="Jason Erlenbeck - Personal View" guid="{EAB3996E-FAEF-43F6-8577-BE0258DFEECA}" mergeInterval="0" personalView="1" maximized="1" windowWidth="1916" windowHeight="854" tabRatio="837" activeSheetId="1"/>
    <customWorkbookView name="Patel, Keyur - Personal View" guid="{AB8E8BA2-0521-46C5-947F-61508E76D025}" mergeInterval="0" personalView="1" maximized="1" windowWidth="1290" windowHeight="670" tabRatio="837" activeSheetId="5"/>
  </customWorkbookViews>
</workbook>
</file>

<file path=xl/calcChain.xml><?xml version="1.0" encoding="utf-8"?>
<calcChain xmlns="http://schemas.openxmlformats.org/spreadsheetml/2006/main">
  <c r="B29" i="4" l="1"/>
  <c r="I13" i="4" l="1"/>
  <c r="I12" i="4"/>
  <c r="I11" i="4"/>
  <c r="I10" i="4"/>
  <c r="P32" i="3" l="1"/>
  <c r="I23" i="3"/>
  <c r="I22" i="3"/>
  <c r="I20" i="3"/>
  <c r="I19" i="3"/>
  <c r="I18" i="3"/>
  <c r="I17" i="3"/>
  <c r="I16" i="3"/>
  <c r="I15" i="3"/>
  <c r="I14" i="3"/>
  <c r="I21" i="3" l="1"/>
  <c r="I3" i="4" l="1"/>
  <c r="I7" i="4"/>
  <c r="I7" i="3"/>
  <c r="I8" i="3"/>
  <c r="I3" i="3"/>
  <c r="P32" i="4" l="1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9" i="4"/>
  <c r="I6" i="4"/>
  <c r="I8" i="4"/>
  <c r="I5" i="4"/>
  <c r="I4" i="4"/>
  <c r="I24" i="3" l="1"/>
  <c r="I25" i="3"/>
  <c r="I5" i="3"/>
  <c r="I6" i="3"/>
  <c r="I9" i="3"/>
  <c r="I10" i="3"/>
  <c r="I11" i="3"/>
  <c r="I12" i="3"/>
  <c r="I13" i="3"/>
  <c r="I26" i="3"/>
  <c r="I4" i="3"/>
</calcChain>
</file>

<file path=xl/comments1.xml><?xml version="1.0" encoding="utf-8"?>
<comments xmlns="http://schemas.openxmlformats.org/spreadsheetml/2006/main">
  <authors>
    <author>Erlenbeck, Jason M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comments2.xml><?xml version="1.0" encoding="utf-8"?>
<comments xmlns="http://schemas.openxmlformats.org/spreadsheetml/2006/main">
  <authors>
    <author>Erlenbeck, Jason M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sharedStrings.xml><?xml version="1.0" encoding="utf-8"?>
<sst xmlns="http://schemas.openxmlformats.org/spreadsheetml/2006/main" count="701" uniqueCount="318">
  <si>
    <t>--</t>
  </si>
  <si>
    <t>Battery - Filtered</t>
  </si>
  <si>
    <t>Controller Temperature</t>
  </si>
  <si>
    <t>Battery - Switched 1</t>
  </si>
  <si>
    <t>Shunt Current Reference - Inverter 1</t>
  </si>
  <si>
    <t>Shunt Current A</t>
  </si>
  <si>
    <t>Shunt Current B</t>
  </si>
  <si>
    <t>Shunt Current C</t>
  </si>
  <si>
    <t>TSG31O1</t>
  </si>
  <si>
    <t>TSG31O2</t>
  </si>
  <si>
    <t>TSG31O3</t>
  </si>
  <si>
    <t>TSG31O4</t>
  </si>
  <si>
    <t>TSG31O5</t>
  </si>
  <si>
    <t>TSG31O6</t>
  </si>
  <si>
    <t>TSG31</t>
  </si>
  <si>
    <t>CSIH2</t>
  </si>
  <si>
    <t>CSIH0</t>
  </si>
  <si>
    <t>TAUJ0</t>
  </si>
  <si>
    <t>TAUJ1</t>
  </si>
  <si>
    <t>CSIG0</t>
  </si>
  <si>
    <t>SENT0</t>
  </si>
  <si>
    <t>SENT1</t>
  </si>
  <si>
    <t>SENT3</t>
  </si>
  <si>
    <t>SENT4</t>
  </si>
  <si>
    <t>SENT2</t>
  </si>
  <si>
    <t>ENCA0</t>
  </si>
  <si>
    <t>ENCA1</t>
  </si>
  <si>
    <t>SENT5</t>
  </si>
  <si>
    <t>CSIH1</t>
  </si>
  <si>
    <t>CSIH3</t>
  </si>
  <si>
    <t>ADC1</t>
  </si>
  <si>
    <t>ADC0</t>
  </si>
  <si>
    <t>TAUD2</t>
  </si>
  <si>
    <t>SerialComm</t>
  </si>
  <si>
    <t>ADC</t>
  </si>
  <si>
    <t>DMA0</t>
  </si>
  <si>
    <t>DMA1</t>
  </si>
  <si>
    <t>DMADTS</t>
  </si>
  <si>
    <t>DMA</t>
  </si>
  <si>
    <t>SCI30</t>
  </si>
  <si>
    <t>SCI31</t>
  </si>
  <si>
    <t>SCI32</t>
  </si>
  <si>
    <t>RLIN30</t>
  </si>
  <si>
    <t>RLIN31</t>
  </si>
  <si>
    <t>RSCAN0CAN0</t>
  </si>
  <si>
    <t>RSCAN0CAN1</t>
  </si>
  <si>
    <t>RSCAN0CAN2</t>
  </si>
  <si>
    <t>FLXA</t>
  </si>
  <si>
    <t>FLXB</t>
  </si>
  <si>
    <t>PSI50</t>
  </si>
  <si>
    <t>PSI51</t>
  </si>
  <si>
    <t>Timer</t>
  </si>
  <si>
    <t>WDTA0</t>
  </si>
  <si>
    <t>OSTM0</t>
  </si>
  <si>
    <t>OSTM1</t>
  </si>
  <si>
    <t>OSTM3</t>
  </si>
  <si>
    <t>OSTM4</t>
  </si>
  <si>
    <t>OSTM5</t>
  </si>
  <si>
    <t>OSTM6</t>
  </si>
  <si>
    <t>OSTM7</t>
  </si>
  <si>
    <t>TAUD0</t>
  </si>
  <si>
    <t>TAUD1</t>
  </si>
  <si>
    <t>TAUJ2</t>
  </si>
  <si>
    <t>TSG30</t>
  </si>
  <si>
    <t>TAPA0</t>
  </si>
  <si>
    <t>TAPA1</t>
  </si>
  <si>
    <t>TAPA2</t>
  </si>
  <si>
    <t>TAPA3</t>
  </si>
  <si>
    <t>TPBA0</t>
  </si>
  <si>
    <t>TPBA1</t>
  </si>
  <si>
    <t>ADC Diag</t>
  </si>
  <si>
    <t>N/A</t>
  </si>
  <si>
    <t>Required</t>
  </si>
  <si>
    <t>Not Required</t>
  </si>
  <si>
    <t>Optional</t>
  </si>
  <si>
    <t>Perhaps SW driven?</t>
  </si>
  <si>
    <t>BattVltg</t>
  </si>
  <si>
    <t>BattVltgSwd1</t>
  </si>
  <si>
    <t>EcuT</t>
  </si>
  <si>
    <t>PhaALowrCmd</t>
  </si>
  <si>
    <t>PhaAUpprCmd</t>
  </si>
  <si>
    <t>PhaBLowrCmd</t>
  </si>
  <si>
    <t>PhaBUpprCmd</t>
  </si>
  <si>
    <t>PhaCLowrCmd</t>
  </si>
  <si>
    <t>PhaCUpprCmd</t>
  </si>
  <si>
    <t>Baseline Version</t>
  </si>
  <si>
    <t>CM475A_TSG31CfgAndUse_1.0.0</t>
  </si>
  <si>
    <t>PUE</t>
  </si>
  <si>
    <t>PDE</t>
  </si>
  <si>
    <t>CNVCLS</t>
  </si>
  <si>
    <t>ADIE</t>
  </si>
  <si>
    <t>Physical Channel</t>
  </si>
  <si>
    <t>Signal Name</t>
  </si>
  <si>
    <t>GCTRL</t>
  </si>
  <si>
    <t>SelfDiag - 1/2</t>
  </si>
  <si>
    <t>SelfDiag - 1/4</t>
  </si>
  <si>
    <t>SelfDiag - 3/4</t>
  </si>
  <si>
    <t>Empty</t>
  </si>
  <si>
    <t>ADCD0VCRj
(Dec)</t>
  </si>
  <si>
    <t>Start</t>
  </si>
  <si>
    <t>End</t>
  </si>
  <si>
    <t>Read Only</t>
  </si>
  <si>
    <t>Software Trigger</t>
  </si>
  <si>
    <t>Virtual 
Channel</t>
  </si>
  <si>
    <t>Not Used</t>
  </si>
  <si>
    <t>TSG31DCMP2E</t>
  </si>
  <si>
    <t>TSG31DCMP1E</t>
  </si>
  <si>
    <t>AdcStrtOfCnvn2</t>
  </si>
  <si>
    <t>TSG31DCMP0E</t>
  </si>
  <si>
    <t>AdcStrtOfCnvnMotCtrlPeak</t>
  </si>
  <si>
    <t>TSG31CMP0E</t>
  </si>
  <si>
    <t>PWM Period</t>
  </si>
  <si>
    <t>TSG31CMP12E</t>
  </si>
  <si>
    <t>TSG31CMP11E</t>
  </si>
  <si>
    <t>DmaTSG31Upd</t>
  </si>
  <si>
    <t>TSG31CMP10E</t>
  </si>
  <si>
    <t>TSG31CMP9E</t>
  </si>
  <si>
    <t>TSG31CMP8E</t>
  </si>
  <si>
    <t>TSG31CMP7E</t>
  </si>
  <si>
    <t>AdcStrtOfCnvnMotCtrlVly</t>
  </si>
  <si>
    <t>TSG31CMP6E</t>
  </si>
  <si>
    <t>TSG31CMP5E</t>
  </si>
  <si>
    <t>TSG31CMP4E</t>
  </si>
  <si>
    <t>TSG31CMP3E</t>
  </si>
  <si>
    <t>TSG31CMP2E</t>
  </si>
  <si>
    <t>TSG31CMP1E</t>
  </si>
  <si>
    <t>TSG31 Compare Register</t>
  </si>
  <si>
    <t>INTTSG31I0</t>
  </si>
  <si>
    <t>INTTSG31I1</t>
  </si>
  <si>
    <t>INTTSG31I2</t>
  </si>
  <si>
    <t>INTTSG31I3</t>
  </si>
  <si>
    <t>INTTSG31I4</t>
  </si>
  <si>
    <t>INTTSG31I5</t>
  </si>
  <si>
    <t>INTTSG31I6</t>
  </si>
  <si>
    <t>INTTSG31I7</t>
  </si>
  <si>
    <t>INTTSG31I8</t>
  </si>
  <si>
    <t>INTTSG31I9</t>
  </si>
  <si>
    <t>INTTSG31I10</t>
  </si>
  <si>
    <t>INTTSG31I11</t>
  </si>
  <si>
    <t>INTTSG31I12</t>
  </si>
  <si>
    <t>INTTSG31IPEK</t>
  </si>
  <si>
    <t>INTTSG31IVLY</t>
  </si>
  <si>
    <t>INTTSG31IER</t>
  </si>
  <si>
    <t>INTTSG31IWN</t>
  </si>
  <si>
    <t>TSG31 Event</t>
  </si>
  <si>
    <t>ADCD 
Capable</t>
  </si>
  <si>
    <t>DMA 
Capable</t>
  </si>
  <si>
    <t>Use Case</t>
  </si>
  <si>
    <t>TSG31 Outputs</t>
  </si>
  <si>
    <t>Signal Names</t>
  </si>
  <si>
    <t>TSG31ADTRG0</t>
  </si>
  <si>
    <t>TSG31ADTRG1</t>
  </si>
  <si>
    <t>Description</t>
  </si>
  <si>
    <t>MotAg0 Data Read</t>
  </si>
  <si>
    <t>Adc0 Results Read</t>
  </si>
  <si>
    <t>TSG Update Group 0</t>
  </si>
  <si>
    <t>TSG Update Group 1</t>
  </si>
  <si>
    <t>2mSec to MotCtrl</t>
  </si>
  <si>
    <t>MotAg0 Spi Start</t>
  </si>
  <si>
    <t>Adc1 Results</t>
  </si>
  <si>
    <t>MotCtrl to 2mSec</t>
  </si>
  <si>
    <t>Destination</t>
  </si>
  <si>
    <t>Source</t>
  </si>
  <si>
    <t>Transfer Size</t>
  </si>
  <si>
    <t>Transfer Length</t>
  </si>
  <si>
    <t>128 bit</t>
  </si>
  <si>
    <t>DMA9 Source (bits)/128</t>
  </si>
  <si>
    <t>DMA15 Source (bits)/128</t>
  </si>
  <si>
    <t>MotCtrlTSG31DCMP0E
MotCtrlTSG31CMP0E
MotCtrlTSG31CMP12E
(CM475A)</t>
  </si>
  <si>
    <t>MotCtrlTSG31CMPWE
MotCtrlTSG31CMPVE
MotCtrlTSG31CMPUE
(CM475A)</t>
  </si>
  <si>
    <t>INTADCD0I3</t>
  </si>
  <si>
    <t>DMA 3 Chain</t>
  </si>
  <si>
    <t>INTADCD1I1</t>
  </si>
  <si>
    <t>DMA 14 Chain</t>
  </si>
  <si>
    <t>Trigger
Physical</t>
  </si>
  <si>
    <t>Trigger Name
m File</t>
  </si>
  <si>
    <t>DmaTSG31Upd
(CM475A)</t>
  </si>
  <si>
    <t>DmaVlyTrig
(CM475A)</t>
  </si>
  <si>
    <t>DmaMotAg0SpiStrt
(CM475A)</t>
  </si>
  <si>
    <t>ADCD0SGVCSPx</t>
  </si>
  <si>
    <t>ADCD0SGVCEPx</t>
  </si>
  <si>
    <t>ADCD0SGMCYCRx</t>
  </si>
  <si>
    <t>ADCD0SGSRx</t>
  </si>
  <si>
    <t>ADCD0SGSTCRx</t>
  </si>
  <si>
    <t>ADCD0SGCRx</t>
  </si>
  <si>
    <t>Scan Group 0</t>
  </si>
  <si>
    <t>Scan Group 1</t>
  </si>
  <si>
    <t>Scan Group 2</t>
  </si>
  <si>
    <t>Scan Group 3</t>
  </si>
  <si>
    <t>Scan Group 4</t>
  </si>
  <si>
    <t>ADCD1VCRj
(Dec)</t>
  </si>
  <si>
    <t>ADCD1SGVCSPx</t>
  </si>
  <si>
    <t>ADCD1SGVCEPx</t>
  </si>
  <si>
    <t>ADCD1SGMCYCRx</t>
  </si>
  <si>
    <t>ADCD1SGSRx</t>
  </si>
  <si>
    <t>ADCD1SGSTCRx</t>
  </si>
  <si>
    <t>ADCD1SGCRx</t>
  </si>
  <si>
    <t>DmaAdc0ResTrig
(CM320A)</t>
  </si>
  <si>
    <t>DmaAdc1ResTrig
(CM320A)</t>
  </si>
  <si>
    <t>Adc1SelfDiag0</t>
  </si>
  <si>
    <t>Adc1SelfDiag2</t>
  </si>
  <si>
    <t>Adc1SelfDiag4</t>
  </si>
  <si>
    <t>MotCtrlMotCurrAdcVlyA</t>
  </si>
  <si>
    <t>MotCtrlMotCurrAdcVlyB</t>
  </si>
  <si>
    <t>MotCtrlMotCurrAdcVlyC</t>
  </si>
  <si>
    <t>MotCtrlMotCurrAdcPeakA</t>
  </si>
  <si>
    <t>MotCtrlMotCurrAdcPeakB</t>
  </si>
  <si>
    <t>MotCtrlMotCurrAdcPeakC</t>
  </si>
  <si>
    <t>MotCtrlMotCurrSnsrOffs1</t>
  </si>
  <si>
    <t>RegInpADCD0DR00
(CM300A)</t>
  </si>
  <si>
    <t>RegOutpTSG31DCMP0E
RegOutpTSG31CMP0E
RegOutpTSG31CMP12E
(CM475A)</t>
  </si>
  <si>
    <t>RegOutpTSG31CMPWE
RegOutpTSG31CMPVE
RegOutpTSG31CMPUE
(CM475A)</t>
  </si>
  <si>
    <t>RegInpADCD1DR00
(CM320A)</t>
  </si>
  <si>
    <t>MotCtrlAdc1RawRes
(CM010A)</t>
  </si>
  <si>
    <t xml:space="preserve"> MotCtrlAdc0RawRes
(CM010A)</t>
  </si>
  <si>
    <t>DmaMotAg0RawData
(CM620A)</t>
  </si>
  <si>
    <t>MotCtrlMotAg0RawRes
(CM620A)</t>
  </si>
  <si>
    <t>RegInpCSIH1RX0W
 (CM620A)</t>
  </si>
  <si>
    <t>32 bit
 (CM620A)</t>
  </si>
  <si>
    <t>3
 (CM620A)</t>
  </si>
  <si>
    <t>DMAC</t>
  </si>
  <si>
    <t>Channel</t>
  </si>
  <si>
    <t>32 Bit (CM620A)</t>
  </si>
  <si>
    <t>1 (CM620A)</t>
  </si>
  <si>
    <t>MotCtrlMgr_TwoMilliSecToMotCtrl_Rec
(CM200A)</t>
  </si>
  <si>
    <t>MotCtrlMgr_MotCtrlFromTwoMilliSec_Rec
(CM200A)</t>
  </si>
  <si>
    <t>MotCtrlMgr_TwoMilliSecFromMotCtrl_Rec
(CM200A)</t>
  </si>
  <si>
    <t>MotCtrlMgr_MotCtrlToTwoMilliSec_Rec
(CM200A)</t>
  </si>
  <si>
    <t>RegOutpCSIH1MCTL2
 (CM620A)</t>
  </si>
  <si>
    <t>MotAg1 Data Read</t>
  </si>
  <si>
    <t>DmaMotAg1RawData
(CM640A)</t>
  </si>
  <si>
    <t>INTCSIH3IC0</t>
  </si>
  <si>
    <t>RegInpCSIH3RX0W
 (CM640A)</t>
  </si>
  <si>
    <t>MotCtrlMotAg1RawRes
(CM640A)</t>
  </si>
  <si>
    <t>32 bit
 (CM640A)</t>
  </si>
  <si>
    <t>3
 (CM640A)</t>
  </si>
  <si>
    <t>MotAg1 Spi Start</t>
  </si>
  <si>
    <t>DmaMotAg1SpiStrt
(CM475A)</t>
  </si>
  <si>
    <t>RegOutpCSIH3MCTL2
 (CM640A)</t>
  </si>
  <si>
    <t>32 Bit (CM640A)</t>
  </si>
  <si>
    <t>1 (CM640A)</t>
  </si>
  <si>
    <t>MotAg1TrsmStrt
 (CM200A)</t>
  </si>
  <si>
    <t>MotAg0TrsmStrt
 (CM200A)</t>
  </si>
  <si>
    <t>INTTSG31IVI</t>
  </si>
  <si>
    <t>INTCSIH1IC1</t>
  </si>
  <si>
    <t>DMA 0.3 Chain</t>
  </si>
  <si>
    <t>DMA 1.4 Chain</t>
  </si>
  <si>
    <t>********* ORIGINAL DATA BELOW THIS LINE FOR COMPARISON USE ONLY ************************</t>
  </si>
  <si>
    <t>HWAG0IFNTCNR_ULS_U16.EngVal</t>
  </si>
  <si>
    <t>NtcNr1.NTCNR_0X094</t>
  </si>
  <si>
    <t>HWAG0MFGNTCNR_ULS_U16.EngVal</t>
  </si>
  <si>
    <t>NtcNr1.NTCNR_0X1F9</t>
  </si>
  <si>
    <t>HWAG0SNSR0PRTCLNTCNR_ULS_U16.EngVal</t>
  </si>
  <si>
    <t>NtcNr1.NTCNR_0X093</t>
  </si>
  <si>
    <t>HWAG0SNSR1PRTCLNTCNR_ULS_U16.EngVal</t>
  </si>
  <si>
    <t>NtcNr1.NTCNR_0X095</t>
  </si>
  <si>
    <t>HWAG1MFGNTCNR_ULS_U16.EngVal</t>
  </si>
  <si>
    <t>NtcNr1.NTCNR_0X1FA</t>
  </si>
  <si>
    <t>HWTQ0MEAS_HWTQ0MFGNTCNR_ULS_U16.EngVal</t>
  </si>
  <si>
    <t>NtcNr1.NTCNR_0X1E0</t>
  </si>
  <si>
    <t>HWTQ0MEAS_HWTQ0PRTCLNTCNR_ULS_U16.EngVal</t>
  </si>
  <si>
    <t>NtcNr1.NTCNR_0X073</t>
  </si>
  <si>
    <t>HWTQ1MEAS_HWTQ1MFGNTCNR_ULS_U16.EngVal</t>
  </si>
  <si>
    <t>NtcNr1.NTCNR_0X1E1</t>
  </si>
  <si>
    <t>HWTQ1MEAS_HWTQ1PRTCLNTCNR_ULS_U16.EngVal</t>
  </si>
  <si>
    <t>MOTAG0MEAS_MOTAG0PRTCLFLTNTCNR_CNT_ENUM.EngVal</t>
  </si>
  <si>
    <t>NtcNr1.NTCNR_0X083</t>
  </si>
  <si>
    <t>MOTAG1MEAS_MOTAG1PRTCLFLTNTCNR_CNT_ENUM.EngVal</t>
  </si>
  <si>
    <t>Source FDD</t>
  </si>
  <si>
    <t>CM690A</t>
  </si>
  <si>
    <t>Min</t>
  </si>
  <si>
    <t>Max</t>
  </si>
  <si>
    <t>CM670A</t>
  </si>
  <si>
    <t>CM650A</t>
  </si>
  <si>
    <t>NTCNR_0X093</t>
  </si>
  <si>
    <t>NTCNR_0X09A</t>
  </si>
  <si>
    <t>NTCNR_0X1F9</t>
  </si>
  <si>
    <t>NTCNR_0X1FA</t>
  </si>
  <si>
    <t>Name</t>
  </si>
  <si>
    <t>Number</t>
  </si>
  <si>
    <t>NTCNR_0X1E0</t>
  </si>
  <si>
    <t>NTCNR_0X1E3</t>
  </si>
  <si>
    <t>NTCNR_0X073</t>
  </si>
  <si>
    <t>NTCNR_0X07A</t>
  </si>
  <si>
    <t>CM660A</t>
  </si>
  <si>
    <t>NTCNR_0X083</t>
  </si>
  <si>
    <t>NTCNR_0X08A</t>
  </si>
  <si>
    <t>HwAg0Meas</t>
  </si>
  <si>
    <t>HwAg1Meas</t>
  </si>
  <si>
    <t>HwTq0Meas</t>
  </si>
  <si>
    <t>MotAg0Meas</t>
  </si>
  <si>
    <t>MotAg1Meas</t>
  </si>
  <si>
    <t>FDD Short Name</t>
  </si>
  <si>
    <t>HwTq1Meas</t>
  </si>
  <si>
    <t>NtcNr1.NTCNR_0X075</t>
  </si>
  <si>
    <t>NtcNr1.NTCNR_0X085</t>
  </si>
  <si>
    <t>SelfDiag - 1</t>
  </si>
  <si>
    <t>SelfDiag - 0</t>
  </si>
  <si>
    <t>MotCtrlAdc0SelfDiag0</t>
  </si>
  <si>
    <t>MotCtrlAdc0SelfDiag2</t>
  </si>
  <si>
    <t>MotCtrlAdc0SelfDiag4</t>
  </si>
  <si>
    <t>Adc1ScanGroup3Ref0</t>
  </si>
  <si>
    <t>Adc1ScanGroup3Ref1</t>
  </si>
  <si>
    <t>Adc1ScanGroup2Ref0</t>
  </si>
  <si>
    <t>Adc1ScanGroup2Ref1</t>
  </si>
  <si>
    <t>MotCtrlAdc0ScanGroup3Ref0</t>
  </si>
  <si>
    <t>MotCtrlAdc0ScanGroup3Ref1</t>
  </si>
  <si>
    <t>MotCtrlAdc0ScanGroup2Ref0</t>
  </si>
  <si>
    <t>MotCtrlAdc0ScanGroup2Ref1</t>
  </si>
  <si>
    <t>SF053A</t>
  </si>
  <si>
    <t>HwAgVehCentrTrim</t>
  </si>
  <si>
    <t>HWAGVEHCENTRTRIM_HWAGVEHCENTRTRIMVLDNTCNR_CNT_ENUM.EngVal</t>
  </si>
  <si>
    <t>NtcNr1.NTCNR_0X1E4</t>
  </si>
  <si>
    <t>NTCNR_0X1FF</t>
  </si>
  <si>
    <t>2mSec to MotCtrl DatTfr</t>
  </si>
  <si>
    <t>CM620C</t>
  </si>
  <si>
    <t>CM640C</t>
  </si>
  <si>
    <t>MtrCtrl ISR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</si>
</sst>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i/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6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wrapText="1"/>
    </xf>
    <xf numFmtId="0" fontId="3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3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3" fillId="0" borderId="0" xfId="0" applyFont="1" applyFill="1"/>
    <xf numFmtId="0" fontId="3" fillId="0" borderId="0" xfId="0" quotePrefix="1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9" fillId="0" borderId="1" xfId="0" applyFont="1" applyFill="1" applyBorder="1" applyAlignment="1">
      <alignment horizontal="centerContinuous"/>
    </xf>
    <xf numFmtId="0" fontId="9" fillId="0" borderId="0" xfId="0" applyFont="1" applyAlignment="1">
      <alignment horizontal="centerContinuous" wrapText="1"/>
    </xf>
    <xf numFmtId="0" fontId="9" fillId="0" borderId="0" xfId="0" applyFont="1" applyAlignment="1">
      <alignment horizontal="centerContinuous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textRotation="90"/>
    </xf>
    <xf numFmtId="0" fontId="9" fillId="0" borderId="0" xfId="0" applyFont="1" applyFill="1" applyAlignment="1">
      <alignment horizontal="center"/>
    </xf>
    <xf numFmtId="0" fontId="9" fillId="0" borderId="1" xfId="0" applyFont="1" applyBorder="1" applyAlignment="1">
      <alignment horizontal="centerContinuous"/>
    </xf>
    <xf numFmtId="0" fontId="9" fillId="0" borderId="1" xfId="0" quotePrefix="1" applyFont="1" applyBorder="1" applyAlignment="1">
      <alignment horizontal="centerContinuous"/>
    </xf>
    <xf numFmtId="0" fontId="9" fillId="0" borderId="1" xfId="0" applyFont="1" applyBorder="1" applyAlignment="1">
      <alignment horizontal="centerContinuous" wrapText="1"/>
    </xf>
    <xf numFmtId="0" fontId="9" fillId="0" borderId="0" xfId="1" applyFont="1" applyFill="1" applyAlignment="1">
      <alignment horizontal="center" vertical="center"/>
    </xf>
    <xf numFmtId="0" fontId="9" fillId="0" borderId="0" xfId="1" applyFont="1" applyFill="1" applyAlignment="1">
      <alignment horizontal="center" vertical="center" wrapText="1"/>
    </xf>
    <xf numFmtId="0" fontId="4" fillId="0" borderId="0" xfId="0" applyFont="1" applyFill="1"/>
    <xf numFmtId="0" fontId="9" fillId="0" borderId="0" xfId="1" quotePrefix="1" applyFont="1" applyFill="1" applyAlignment="1">
      <alignment horizontal="center" vertical="center" wrapText="1"/>
    </xf>
    <xf numFmtId="0" fontId="9" fillId="0" borderId="0" xfId="1" quotePrefix="1" applyFont="1" applyFill="1" applyAlignment="1">
      <alignment horizontal="center" vertical="center"/>
    </xf>
    <xf numFmtId="0" fontId="0" fillId="0" borderId="0" xfId="0" applyFill="1"/>
    <xf numFmtId="0" fontId="8" fillId="0" borderId="0" xfId="0" applyFont="1" applyFill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E63"/>
  <sheetViews>
    <sheetView zoomScale="85" zoomScaleNormal="85" workbookViewId="0">
      <selection activeCell="I16" sqref="I16"/>
    </sheetView>
  </sheetViews>
  <sheetFormatPr defaultRowHeight="14.4" x14ac:dyDescent="0.3"/>
  <cols>
    <col min="1" max="1" width="11.6640625" bestFit="1" customWidth="1"/>
    <col min="2" max="2" width="18.5546875" customWidth="1"/>
    <col min="4" max="4" width="29.109375" customWidth="1"/>
    <col min="5" max="5" width="31" customWidth="1"/>
  </cols>
  <sheetData>
    <row r="5" spans="1:5" ht="15" x14ac:dyDescent="0.25">
      <c r="E5" t="s">
        <v>85</v>
      </c>
    </row>
    <row r="6" spans="1:5" ht="15" x14ac:dyDescent="0.25">
      <c r="A6" t="s">
        <v>38</v>
      </c>
      <c r="B6" t="s">
        <v>35</v>
      </c>
      <c r="C6">
        <v>200</v>
      </c>
      <c r="D6" t="s">
        <v>72</v>
      </c>
    </row>
    <row r="7" spans="1:5" ht="15" x14ac:dyDescent="0.25">
      <c r="B7" t="s">
        <v>36</v>
      </c>
      <c r="C7">
        <v>210</v>
      </c>
      <c r="D7" t="s">
        <v>72</v>
      </c>
    </row>
    <row r="8" spans="1:5" ht="15" x14ac:dyDescent="0.25">
      <c r="B8" t="s">
        <v>37</v>
      </c>
      <c r="C8">
        <v>220</v>
      </c>
      <c r="D8" t="s">
        <v>73</v>
      </c>
    </row>
    <row r="11" spans="1:5" ht="15" x14ac:dyDescent="0.25">
      <c r="A11" t="s">
        <v>34</v>
      </c>
      <c r="B11" t="s">
        <v>31</v>
      </c>
      <c r="C11">
        <v>300</v>
      </c>
      <c r="D11" t="s">
        <v>72</v>
      </c>
    </row>
    <row r="12" spans="1:5" ht="15" x14ac:dyDescent="0.25">
      <c r="B12" t="s">
        <v>30</v>
      </c>
      <c r="C12">
        <v>320</v>
      </c>
      <c r="D12" t="s">
        <v>72</v>
      </c>
    </row>
    <row r="13" spans="1:5" ht="15" x14ac:dyDescent="0.25">
      <c r="B13" t="s">
        <v>70</v>
      </c>
      <c r="C13">
        <v>340</v>
      </c>
      <c r="D13" t="s">
        <v>73</v>
      </c>
    </row>
    <row r="16" spans="1:5" ht="15" x14ac:dyDescent="0.25">
      <c r="A16" t="s">
        <v>51</v>
      </c>
      <c r="B16" t="s">
        <v>52</v>
      </c>
      <c r="C16">
        <v>400</v>
      </c>
      <c r="D16" t="s">
        <v>74</v>
      </c>
      <c r="E16" t="s">
        <v>75</v>
      </c>
    </row>
    <row r="17" spans="2:5" ht="15" x14ac:dyDescent="0.25">
      <c r="B17" t="s">
        <v>53</v>
      </c>
      <c r="C17">
        <v>405</v>
      </c>
      <c r="D17" t="s">
        <v>74</v>
      </c>
      <c r="E17" t="s">
        <v>75</v>
      </c>
    </row>
    <row r="18" spans="2:5" ht="15" x14ac:dyDescent="0.25">
      <c r="B18" t="s">
        <v>54</v>
      </c>
      <c r="C18">
        <v>410</v>
      </c>
      <c r="D18" t="s">
        <v>74</v>
      </c>
      <c r="E18" t="s">
        <v>75</v>
      </c>
    </row>
    <row r="19" spans="2:5" ht="15" x14ac:dyDescent="0.25">
      <c r="B19" t="s">
        <v>55</v>
      </c>
      <c r="C19">
        <v>415</v>
      </c>
      <c r="D19" t="s">
        <v>74</v>
      </c>
      <c r="E19" t="s">
        <v>75</v>
      </c>
    </row>
    <row r="20" spans="2:5" ht="15" x14ac:dyDescent="0.25">
      <c r="B20" t="s">
        <v>56</v>
      </c>
      <c r="C20">
        <v>420</v>
      </c>
      <c r="D20" t="s">
        <v>74</v>
      </c>
      <c r="E20" t="s">
        <v>75</v>
      </c>
    </row>
    <row r="21" spans="2:5" ht="15" x14ac:dyDescent="0.25">
      <c r="B21" t="s">
        <v>57</v>
      </c>
      <c r="C21">
        <v>425</v>
      </c>
      <c r="D21" t="s">
        <v>74</v>
      </c>
      <c r="E21" t="s">
        <v>75</v>
      </c>
    </row>
    <row r="22" spans="2:5" ht="15" x14ac:dyDescent="0.25">
      <c r="B22" t="s">
        <v>58</v>
      </c>
      <c r="C22">
        <v>430</v>
      </c>
      <c r="D22" t="s">
        <v>74</v>
      </c>
      <c r="E22" t="s">
        <v>75</v>
      </c>
    </row>
    <row r="23" spans="2:5" ht="15" x14ac:dyDescent="0.25">
      <c r="B23" t="s">
        <v>59</v>
      </c>
      <c r="C23">
        <v>435</v>
      </c>
      <c r="D23" t="s">
        <v>74</v>
      </c>
      <c r="E23" t="s">
        <v>75</v>
      </c>
    </row>
    <row r="24" spans="2:5" ht="15" x14ac:dyDescent="0.25">
      <c r="B24" t="s">
        <v>60</v>
      </c>
      <c r="C24">
        <v>440</v>
      </c>
      <c r="D24" t="s">
        <v>73</v>
      </c>
    </row>
    <row r="25" spans="2:5" ht="15" x14ac:dyDescent="0.25">
      <c r="B25" t="s">
        <v>61</v>
      </c>
      <c r="C25">
        <v>445</v>
      </c>
      <c r="D25" t="s">
        <v>73</v>
      </c>
    </row>
    <row r="26" spans="2:5" ht="15" x14ac:dyDescent="0.25">
      <c r="B26" t="s">
        <v>32</v>
      </c>
      <c r="C26">
        <v>450</v>
      </c>
      <c r="D26" t="s">
        <v>73</v>
      </c>
    </row>
    <row r="27" spans="2:5" ht="15" x14ac:dyDescent="0.25">
      <c r="B27" t="s">
        <v>17</v>
      </c>
      <c r="C27">
        <v>455</v>
      </c>
      <c r="D27" t="s">
        <v>72</v>
      </c>
    </row>
    <row r="28" spans="2:5" ht="15" x14ac:dyDescent="0.25">
      <c r="B28" t="s">
        <v>18</v>
      </c>
      <c r="C28">
        <v>460</v>
      </c>
      <c r="D28" t="s">
        <v>72</v>
      </c>
    </row>
    <row r="29" spans="2:5" ht="15" x14ac:dyDescent="0.25">
      <c r="B29" t="s">
        <v>62</v>
      </c>
      <c r="C29">
        <v>465</v>
      </c>
      <c r="D29" t="s">
        <v>73</v>
      </c>
    </row>
    <row r="30" spans="2:5" ht="15" x14ac:dyDescent="0.25">
      <c r="B30" t="s">
        <v>63</v>
      </c>
      <c r="C30">
        <v>470</v>
      </c>
      <c r="D30" t="s">
        <v>73</v>
      </c>
    </row>
    <row r="31" spans="2:5" ht="15" x14ac:dyDescent="0.25">
      <c r="B31" t="s">
        <v>14</v>
      </c>
      <c r="C31">
        <v>475</v>
      </c>
      <c r="D31" t="s">
        <v>72</v>
      </c>
      <c r="E31" t="s">
        <v>86</v>
      </c>
    </row>
    <row r="32" spans="2:5" ht="15" x14ac:dyDescent="0.25">
      <c r="B32" t="s">
        <v>64</v>
      </c>
      <c r="C32">
        <v>480</v>
      </c>
      <c r="D32" t="s">
        <v>73</v>
      </c>
    </row>
    <row r="33" spans="1:4" ht="15" x14ac:dyDescent="0.25">
      <c r="B33" t="s">
        <v>65</v>
      </c>
      <c r="C33">
        <v>485</v>
      </c>
      <c r="D33" t="s">
        <v>73</v>
      </c>
    </row>
    <row r="34" spans="1:4" ht="15" x14ac:dyDescent="0.25">
      <c r="B34" t="s">
        <v>66</v>
      </c>
      <c r="C34">
        <v>490</v>
      </c>
      <c r="D34" t="s">
        <v>73</v>
      </c>
    </row>
    <row r="35" spans="1:4" ht="15" x14ac:dyDescent="0.25">
      <c r="B35" t="s">
        <v>67</v>
      </c>
      <c r="C35">
        <v>495</v>
      </c>
      <c r="D35" t="s">
        <v>73</v>
      </c>
    </row>
    <row r="36" spans="1:4" x14ac:dyDescent="0.3">
      <c r="B36" t="s">
        <v>68</v>
      </c>
      <c r="C36">
        <v>500</v>
      </c>
      <c r="D36" t="s">
        <v>73</v>
      </c>
    </row>
    <row r="37" spans="1:4" x14ac:dyDescent="0.3">
      <c r="B37" t="s">
        <v>69</v>
      </c>
      <c r="C37">
        <v>505</v>
      </c>
      <c r="D37" t="s">
        <v>73</v>
      </c>
    </row>
    <row r="38" spans="1:4" x14ac:dyDescent="0.3">
      <c r="B38" t="s">
        <v>25</v>
      </c>
      <c r="C38">
        <v>510</v>
      </c>
      <c r="D38" t="s">
        <v>73</v>
      </c>
    </row>
    <row r="39" spans="1:4" x14ac:dyDescent="0.3">
      <c r="B39" t="s">
        <v>26</v>
      </c>
      <c r="C39">
        <v>515</v>
      </c>
      <c r="D39" t="s">
        <v>73</v>
      </c>
    </row>
    <row r="41" spans="1:4" x14ac:dyDescent="0.3">
      <c r="A41" t="s">
        <v>33</v>
      </c>
      <c r="B41" t="s">
        <v>19</v>
      </c>
      <c r="C41">
        <v>600</v>
      </c>
      <c r="D41" t="s">
        <v>72</v>
      </c>
    </row>
    <row r="42" spans="1:4" x14ac:dyDescent="0.3">
      <c r="B42" t="s">
        <v>16</v>
      </c>
      <c r="C42">
        <v>610</v>
      </c>
      <c r="D42" t="s">
        <v>72</v>
      </c>
    </row>
    <row r="43" spans="1:4" x14ac:dyDescent="0.3">
      <c r="B43" t="s">
        <v>28</v>
      </c>
      <c r="C43">
        <v>620</v>
      </c>
      <c r="D43" t="s">
        <v>72</v>
      </c>
    </row>
    <row r="44" spans="1:4" x14ac:dyDescent="0.3">
      <c r="B44" t="s">
        <v>15</v>
      </c>
      <c r="C44">
        <v>630</v>
      </c>
      <c r="D44" t="s">
        <v>72</v>
      </c>
    </row>
    <row r="45" spans="1:4" x14ac:dyDescent="0.3">
      <c r="B45" t="s">
        <v>29</v>
      </c>
      <c r="C45">
        <v>640</v>
      </c>
      <c r="D45" t="s">
        <v>72</v>
      </c>
    </row>
    <row r="46" spans="1:4" x14ac:dyDescent="0.3">
      <c r="B46" t="s">
        <v>20</v>
      </c>
      <c r="C46">
        <v>650</v>
      </c>
      <c r="D46" t="s">
        <v>72</v>
      </c>
    </row>
    <row r="47" spans="1:4" x14ac:dyDescent="0.3">
      <c r="B47" t="s">
        <v>21</v>
      </c>
      <c r="C47">
        <v>660</v>
      </c>
      <c r="D47" t="s">
        <v>72</v>
      </c>
    </row>
    <row r="48" spans="1:4" x14ac:dyDescent="0.3">
      <c r="B48" t="s">
        <v>24</v>
      </c>
      <c r="C48">
        <v>670</v>
      </c>
      <c r="D48" t="s">
        <v>72</v>
      </c>
    </row>
    <row r="49" spans="2:5" x14ac:dyDescent="0.3">
      <c r="B49" t="s">
        <v>22</v>
      </c>
      <c r="C49">
        <v>680</v>
      </c>
      <c r="D49" t="s">
        <v>72</v>
      </c>
    </row>
    <row r="50" spans="2:5" x14ac:dyDescent="0.3">
      <c r="B50" t="s">
        <v>23</v>
      </c>
      <c r="C50">
        <v>690</v>
      </c>
      <c r="D50" t="s">
        <v>72</v>
      </c>
    </row>
    <row r="51" spans="2:5" x14ac:dyDescent="0.3">
      <c r="B51" t="s">
        <v>27</v>
      </c>
      <c r="C51">
        <v>700</v>
      </c>
      <c r="D51" t="s">
        <v>72</v>
      </c>
    </row>
    <row r="52" spans="2:5" x14ac:dyDescent="0.3">
      <c r="B52" t="s">
        <v>44</v>
      </c>
      <c r="C52">
        <v>710</v>
      </c>
      <c r="D52" t="s">
        <v>74</v>
      </c>
      <c r="E52" t="s">
        <v>75</v>
      </c>
    </row>
    <row r="53" spans="2:5" x14ac:dyDescent="0.3">
      <c r="B53" t="s">
        <v>45</v>
      </c>
      <c r="C53">
        <v>715</v>
      </c>
      <c r="D53" t="s">
        <v>74</v>
      </c>
      <c r="E53" t="s">
        <v>75</v>
      </c>
    </row>
    <row r="54" spans="2:5" x14ac:dyDescent="0.3">
      <c r="B54" t="s">
        <v>46</v>
      </c>
      <c r="C54">
        <v>720</v>
      </c>
      <c r="D54" t="s">
        <v>73</v>
      </c>
    </row>
    <row r="55" spans="2:5" x14ac:dyDescent="0.3">
      <c r="B55" t="s">
        <v>47</v>
      </c>
      <c r="C55">
        <v>725</v>
      </c>
      <c r="D55" t="s">
        <v>73</v>
      </c>
    </row>
    <row r="56" spans="2:5" x14ac:dyDescent="0.3">
      <c r="B56" t="s">
        <v>48</v>
      </c>
      <c r="C56">
        <v>730</v>
      </c>
      <c r="D56" t="s">
        <v>73</v>
      </c>
    </row>
    <row r="57" spans="2:5" x14ac:dyDescent="0.3">
      <c r="B57" t="s">
        <v>49</v>
      </c>
      <c r="C57">
        <v>735</v>
      </c>
      <c r="D57" t="s">
        <v>73</v>
      </c>
    </row>
    <row r="58" spans="2:5" x14ac:dyDescent="0.3">
      <c r="B58" t="s">
        <v>50</v>
      </c>
      <c r="C58">
        <v>740</v>
      </c>
      <c r="D58" t="s">
        <v>73</v>
      </c>
    </row>
    <row r="59" spans="2:5" x14ac:dyDescent="0.3">
      <c r="B59" t="s">
        <v>39</v>
      </c>
      <c r="C59">
        <v>745</v>
      </c>
      <c r="D59" t="s">
        <v>73</v>
      </c>
    </row>
    <row r="60" spans="2:5" x14ac:dyDescent="0.3">
      <c r="B60" t="s">
        <v>40</v>
      </c>
      <c r="C60">
        <v>750</v>
      </c>
      <c r="D60" t="s">
        <v>73</v>
      </c>
    </row>
    <row r="61" spans="2:5" x14ac:dyDescent="0.3">
      <c r="B61" t="s">
        <v>41</v>
      </c>
      <c r="C61">
        <v>755</v>
      </c>
      <c r="D61" t="s">
        <v>73</v>
      </c>
    </row>
    <row r="62" spans="2:5" x14ac:dyDescent="0.3">
      <c r="B62" t="s">
        <v>42</v>
      </c>
      <c r="C62">
        <v>760</v>
      </c>
      <c r="D62" t="s">
        <v>73</v>
      </c>
    </row>
    <row r="63" spans="2:5" x14ac:dyDescent="0.3">
      <c r="B63" t="s">
        <v>43</v>
      </c>
      <c r="C63">
        <v>765</v>
      </c>
      <c r="D63" t="s">
        <v>73</v>
      </c>
    </row>
  </sheetData>
  <customSheetViews>
    <customSheetView guid="{EAB3996E-FAEF-43F6-8577-BE0258DFEECA}" scale="85" topLeftCell="A19">
      <selection activeCell="D43" sqref="D43"/>
      <pageMargins left="0.7" right="0.7" top="0.75" bottom="0.75" header="0.3" footer="0.3"/>
    </customSheetView>
    <customSheetView guid="{AB8E8BA2-0521-46C5-947F-61508E76D025}" scale="85" topLeftCell="A19">
      <selection activeCell="D43" sqref="D4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36"/>
  <sheetViews>
    <sheetView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I14" sqref="I14"/>
    </sheetView>
  </sheetViews>
  <sheetFormatPr defaultRowHeight="14.4" x14ac:dyDescent="0.3"/>
  <cols>
    <col min="1" max="1" width="9" style="18" bestFit="1" customWidth="1"/>
    <col min="2" max="2" width="22.109375" style="17" customWidth="1"/>
    <col min="3" max="3" width="24.6640625" style="17" customWidth="1"/>
    <col min="4" max="8" width="5.33203125" style="18" bestFit="1" customWidth="1"/>
    <col min="9" max="9" width="20" style="18" bestFit="1" customWidth="1"/>
    <col min="10" max="19" width="15.6640625" style="17" customWidth="1"/>
    <col min="20" max="16384" width="8.88671875" style="17"/>
  </cols>
  <sheetData>
    <row r="1" spans="1:19" x14ac:dyDescent="0.3">
      <c r="J1" s="21" t="s">
        <v>185</v>
      </c>
      <c r="K1" s="22"/>
      <c r="L1" s="21" t="s">
        <v>186</v>
      </c>
      <c r="M1" s="22"/>
      <c r="N1" s="21" t="s">
        <v>187</v>
      </c>
      <c r="O1" s="22"/>
      <c r="P1" s="21" t="s">
        <v>188</v>
      </c>
      <c r="Q1" s="22"/>
      <c r="R1" s="21" t="s">
        <v>189</v>
      </c>
      <c r="S1" s="22"/>
    </row>
    <row r="2" spans="1:19" ht="64.5" customHeight="1" x14ac:dyDescent="0.3">
      <c r="A2" s="23" t="s">
        <v>103</v>
      </c>
      <c r="B2" s="17" t="s">
        <v>91</v>
      </c>
      <c r="C2" s="17" t="s">
        <v>92</v>
      </c>
      <c r="D2" s="24" t="s">
        <v>87</v>
      </c>
      <c r="E2" s="24" t="s">
        <v>88</v>
      </c>
      <c r="F2" s="24" t="s">
        <v>89</v>
      </c>
      <c r="G2" s="24" t="s">
        <v>90</v>
      </c>
      <c r="H2" s="24" t="s">
        <v>93</v>
      </c>
      <c r="I2" s="23" t="s">
        <v>98</v>
      </c>
      <c r="J2" s="18" t="s">
        <v>99</v>
      </c>
      <c r="K2" s="18" t="s">
        <v>100</v>
      </c>
      <c r="L2" s="18" t="s">
        <v>99</v>
      </c>
      <c r="M2" s="18" t="s">
        <v>100</v>
      </c>
      <c r="N2" s="18" t="s">
        <v>99</v>
      </c>
      <c r="O2" s="18" t="s">
        <v>100</v>
      </c>
      <c r="P2" s="18" t="s">
        <v>99</v>
      </c>
      <c r="Q2" s="18" t="s">
        <v>100</v>
      </c>
      <c r="R2" s="18" t="s">
        <v>99</v>
      </c>
      <c r="S2" s="18" t="s">
        <v>100</v>
      </c>
    </row>
    <row r="3" spans="1:19" x14ac:dyDescent="0.3">
      <c r="A3" s="18">
        <v>0</v>
      </c>
      <c r="B3" s="17" t="s">
        <v>95</v>
      </c>
      <c r="C3" s="17" t="s">
        <v>305</v>
      </c>
      <c r="D3" s="18">
        <v>0</v>
      </c>
      <c r="E3" s="18">
        <v>0</v>
      </c>
      <c r="F3" s="18">
        <v>3</v>
      </c>
      <c r="G3" s="18">
        <v>0</v>
      </c>
      <c r="H3" s="18">
        <v>4</v>
      </c>
      <c r="I3" s="25">
        <f>2^17*D3+2^16*E3+2^13*F3+2^7*G3+H3</f>
        <v>24580</v>
      </c>
      <c r="J3" s="18" t="s">
        <v>99</v>
      </c>
      <c r="K3" s="18"/>
      <c r="M3" s="18"/>
      <c r="O3" s="18"/>
      <c r="P3" s="18" t="s">
        <v>99</v>
      </c>
      <c r="Q3" s="18"/>
      <c r="R3" s="18" t="s">
        <v>99</v>
      </c>
      <c r="S3" s="18" t="s">
        <v>100</v>
      </c>
    </row>
    <row r="4" spans="1:19" x14ac:dyDescent="0.3">
      <c r="A4" s="18">
        <v>1</v>
      </c>
      <c r="B4" s="17" t="s">
        <v>5</v>
      </c>
      <c r="C4" s="19" t="s">
        <v>202</v>
      </c>
      <c r="D4" s="18">
        <v>0</v>
      </c>
      <c r="E4" s="18">
        <v>0</v>
      </c>
      <c r="F4" s="18">
        <v>0</v>
      </c>
      <c r="G4" s="18">
        <v>0</v>
      </c>
      <c r="H4" s="18">
        <v>2</v>
      </c>
      <c r="I4" s="25">
        <f>2^17*D4+2^16*E4+2^13*F4+2^7*G4+H4</f>
        <v>2</v>
      </c>
      <c r="J4" s="18"/>
      <c r="K4" s="18"/>
      <c r="L4" s="18"/>
      <c r="M4" s="18"/>
      <c r="N4" s="18"/>
      <c r="O4" s="18"/>
      <c r="P4" s="18"/>
      <c r="Q4" s="18"/>
      <c r="R4" s="18"/>
      <c r="S4" s="18"/>
    </row>
    <row r="5" spans="1:19" x14ac:dyDescent="0.3">
      <c r="A5" s="18">
        <v>2</v>
      </c>
      <c r="B5" s="17" t="s">
        <v>6</v>
      </c>
      <c r="C5" s="19" t="s">
        <v>203</v>
      </c>
      <c r="D5" s="18">
        <v>0</v>
      </c>
      <c r="E5" s="18">
        <v>0</v>
      </c>
      <c r="F5" s="18">
        <v>0</v>
      </c>
      <c r="G5" s="18">
        <v>0</v>
      </c>
      <c r="H5" s="18">
        <v>3</v>
      </c>
      <c r="I5" s="25">
        <f t="shared" ref="I5:I6" si="0">2^17*D5+2^16*E5+2^13*F5+2^7*G5+H5</f>
        <v>3</v>
      </c>
      <c r="J5" s="18"/>
      <c r="K5" s="18"/>
      <c r="L5" s="18"/>
      <c r="M5" s="18"/>
      <c r="N5" s="18"/>
      <c r="O5" s="18"/>
      <c r="P5" s="18"/>
      <c r="Q5" s="18"/>
      <c r="R5" s="18"/>
      <c r="S5" s="18"/>
    </row>
    <row r="6" spans="1:19" x14ac:dyDescent="0.3">
      <c r="A6" s="18">
        <v>3</v>
      </c>
      <c r="B6" s="17" t="s">
        <v>7</v>
      </c>
      <c r="C6" s="19" t="s">
        <v>204</v>
      </c>
      <c r="D6" s="18">
        <v>0</v>
      </c>
      <c r="E6" s="18">
        <v>0</v>
      </c>
      <c r="F6" s="18">
        <v>0</v>
      </c>
      <c r="G6" s="18">
        <v>0</v>
      </c>
      <c r="H6" s="18">
        <v>4</v>
      </c>
      <c r="I6" s="25">
        <f t="shared" si="0"/>
        <v>4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x14ac:dyDescent="0.3">
      <c r="A7" s="18">
        <v>4</v>
      </c>
      <c r="B7" s="17" t="s">
        <v>96</v>
      </c>
      <c r="C7" s="19" t="s">
        <v>306</v>
      </c>
      <c r="D7" s="18">
        <v>0</v>
      </c>
      <c r="E7" s="18">
        <v>0</v>
      </c>
      <c r="F7" s="18">
        <v>3</v>
      </c>
      <c r="G7" s="18">
        <v>0</v>
      </c>
      <c r="H7" s="18">
        <v>12</v>
      </c>
      <c r="I7" s="25">
        <f t="shared" ref="I7" si="1">2^17*D7+2^16*E7+2^13*F7+2^7*G7+H7</f>
        <v>24588</v>
      </c>
      <c r="J7" s="18"/>
      <c r="K7" s="18"/>
      <c r="L7" s="18"/>
      <c r="M7" s="18"/>
      <c r="O7" s="18"/>
      <c r="P7" s="18"/>
      <c r="Q7" s="18" t="s">
        <v>100</v>
      </c>
      <c r="R7" s="18"/>
      <c r="S7" s="18"/>
    </row>
    <row r="8" spans="1:19" x14ac:dyDescent="0.3">
      <c r="A8" s="18">
        <v>5</v>
      </c>
      <c r="B8" s="17" t="s">
        <v>95</v>
      </c>
      <c r="C8" s="19" t="s">
        <v>307</v>
      </c>
      <c r="D8" s="18">
        <v>0</v>
      </c>
      <c r="E8" s="18">
        <v>0</v>
      </c>
      <c r="F8" s="18">
        <v>3</v>
      </c>
      <c r="G8" s="18">
        <v>0</v>
      </c>
      <c r="H8" s="18">
        <v>4</v>
      </c>
      <c r="I8" s="25">
        <f t="shared" ref="I8:I13" si="2">2^17*D8+2^16*E8+2^13*F8+2^7*G8+H8</f>
        <v>24580</v>
      </c>
      <c r="J8" s="18"/>
      <c r="K8" s="18"/>
      <c r="L8" s="18"/>
      <c r="M8" s="18"/>
      <c r="N8" s="18" t="s">
        <v>99</v>
      </c>
      <c r="O8" s="18"/>
      <c r="P8" s="18"/>
      <c r="Q8" s="18"/>
      <c r="R8" s="18"/>
    </row>
    <row r="9" spans="1:19" x14ac:dyDescent="0.3">
      <c r="A9" s="18">
        <v>6</v>
      </c>
      <c r="B9" s="17" t="s">
        <v>5</v>
      </c>
      <c r="C9" s="19" t="s">
        <v>205</v>
      </c>
      <c r="D9" s="18">
        <v>0</v>
      </c>
      <c r="E9" s="18">
        <v>0</v>
      </c>
      <c r="F9" s="18">
        <v>0</v>
      </c>
      <c r="G9" s="18">
        <v>0</v>
      </c>
      <c r="H9" s="18">
        <v>2</v>
      </c>
      <c r="I9" s="25">
        <f t="shared" si="2"/>
        <v>2</v>
      </c>
      <c r="J9" s="18"/>
      <c r="K9" s="18"/>
      <c r="L9" s="18"/>
      <c r="M9" s="18"/>
      <c r="O9" s="18"/>
      <c r="S9" s="18"/>
    </row>
    <row r="10" spans="1:19" x14ac:dyDescent="0.3">
      <c r="A10" s="18">
        <v>7</v>
      </c>
      <c r="B10" s="17" t="s">
        <v>6</v>
      </c>
      <c r="C10" s="19" t="s">
        <v>206</v>
      </c>
      <c r="D10" s="18">
        <v>0</v>
      </c>
      <c r="E10" s="18">
        <v>0</v>
      </c>
      <c r="F10" s="18">
        <v>0</v>
      </c>
      <c r="G10" s="18">
        <v>0</v>
      </c>
      <c r="H10" s="18">
        <v>3</v>
      </c>
      <c r="I10" s="25">
        <f t="shared" si="2"/>
        <v>3</v>
      </c>
      <c r="J10" s="18"/>
      <c r="K10" s="18"/>
      <c r="L10" s="18"/>
      <c r="M10" s="18"/>
      <c r="R10" s="18"/>
      <c r="S10" s="18"/>
    </row>
    <row r="11" spans="1:19" x14ac:dyDescent="0.3">
      <c r="A11" s="18">
        <v>8</v>
      </c>
      <c r="B11" s="17" t="s">
        <v>7</v>
      </c>
      <c r="C11" s="19" t="s">
        <v>207</v>
      </c>
      <c r="D11" s="18">
        <v>0</v>
      </c>
      <c r="E11" s="18">
        <v>0</v>
      </c>
      <c r="F11" s="18">
        <v>0</v>
      </c>
      <c r="G11" s="18">
        <v>0</v>
      </c>
      <c r="H11" s="18">
        <v>4</v>
      </c>
      <c r="I11" s="25">
        <f t="shared" si="2"/>
        <v>4</v>
      </c>
      <c r="J11" s="18"/>
      <c r="K11" s="18"/>
      <c r="L11" s="18"/>
      <c r="M11" s="18"/>
      <c r="R11" s="18"/>
      <c r="S11" s="18"/>
    </row>
    <row r="12" spans="1:19" x14ac:dyDescent="0.3">
      <c r="A12" s="18">
        <v>9</v>
      </c>
      <c r="B12" s="17" t="s">
        <v>4</v>
      </c>
      <c r="C12" s="17" t="s">
        <v>208</v>
      </c>
      <c r="D12" s="18">
        <v>0</v>
      </c>
      <c r="E12" s="18">
        <v>0</v>
      </c>
      <c r="F12" s="18">
        <v>0</v>
      </c>
      <c r="G12" s="18">
        <v>0</v>
      </c>
      <c r="H12" s="18">
        <v>1</v>
      </c>
      <c r="I12" s="25">
        <f t="shared" si="2"/>
        <v>1</v>
      </c>
      <c r="J12" s="18"/>
      <c r="K12" s="18"/>
      <c r="L12" s="18"/>
      <c r="M12" s="18"/>
      <c r="O12" s="18"/>
      <c r="P12" s="18"/>
      <c r="Q12" s="18"/>
      <c r="R12" s="18"/>
      <c r="S12" s="18"/>
    </row>
    <row r="13" spans="1:19" x14ac:dyDescent="0.3">
      <c r="A13" s="18">
        <v>10</v>
      </c>
      <c r="B13" s="17" t="s">
        <v>96</v>
      </c>
      <c r="C13" s="19" t="s">
        <v>308</v>
      </c>
      <c r="D13" s="18">
        <v>0</v>
      </c>
      <c r="E13" s="18">
        <v>0</v>
      </c>
      <c r="F13" s="18">
        <v>3</v>
      </c>
      <c r="G13" s="18">
        <v>0</v>
      </c>
      <c r="H13" s="18">
        <v>12</v>
      </c>
      <c r="I13" s="25">
        <f t="shared" si="2"/>
        <v>24588</v>
      </c>
      <c r="J13" s="18"/>
      <c r="K13" s="18"/>
      <c r="L13" s="18"/>
      <c r="M13" s="18"/>
      <c r="N13" s="18"/>
      <c r="O13" s="18" t="s">
        <v>100</v>
      </c>
      <c r="P13" s="18"/>
      <c r="Q13" s="18"/>
      <c r="R13" s="18"/>
      <c r="S13" s="18"/>
    </row>
    <row r="14" spans="1:19" x14ac:dyDescent="0.3">
      <c r="A14" s="18">
        <v>11</v>
      </c>
      <c r="B14" s="17" t="s">
        <v>97</v>
      </c>
      <c r="D14" s="18">
        <v>0</v>
      </c>
      <c r="E14" s="18">
        <v>0</v>
      </c>
      <c r="F14" s="18">
        <v>3</v>
      </c>
      <c r="G14" s="18">
        <v>0</v>
      </c>
      <c r="H14" s="18">
        <v>8</v>
      </c>
      <c r="I14" s="25">
        <f t="shared" ref="I14:I20" si="3">2^17*D14+2^16*E14+2^13*F14+2^7*G14+H14</f>
        <v>24584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1:19" x14ac:dyDescent="0.3">
      <c r="A15" s="18">
        <v>12</v>
      </c>
      <c r="B15" s="17" t="s">
        <v>97</v>
      </c>
      <c r="D15" s="18">
        <v>0</v>
      </c>
      <c r="E15" s="18">
        <v>0</v>
      </c>
      <c r="F15" s="18">
        <v>3</v>
      </c>
      <c r="G15" s="18">
        <v>0</v>
      </c>
      <c r="H15" s="18">
        <v>8</v>
      </c>
      <c r="I15" s="25">
        <f t="shared" si="3"/>
        <v>24584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1:19" x14ac:dyDescent="0.3">
      <c r="A16" s="18">
        <v>13</v>
      </c>
      <c r="B16" s="17" t="s">
        <v>97</v>
      </c>
      <c r="D16" s="18">
        <v>0</v>
      </c>
      <c r="E16" s="18">
        <v>0</v>
      </c>
      <c r="F16" s="18">
        <v>3</v>
      </c>
      <c r="G16" s="18">
        <v>0</v>
      </c>
      <c r="H16" s="18">
        <v>8</v>
      </c>
      <c r="I16" s="25">
        <f t="shared" si="3"/>
        <v>24584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1:19" x14ac:dyDescent="0.3">
      <c r="A17" s="18">
        <v>14</v>
      </c>
      <c r="B17" s="17" t="s">
        <v>97</v>
      </c>
      <c r="D17" s="18">
        <v>0</v>
      </c>
      <c r="E17" s="18">
        <v>0</v>
      </c>
      <c r="F17" s="18">
        <v>3</v>
      </c>
      <c r="G17" s="18">
        <v>0</v>
      </c>
      <c r="H17" s="18">
        <v>8</v>
      </c>
      <c r="I17" s="25">
        <f t="shared" si="3"/>
        <v>24584</v>
      </c>
      <c r="J17" s="18"/>
      <c r="K17" s="18"/>
      <c r="L17" s="18"/>
      <c r="M17" s="18"/>
      <c r="N17" s="18"/>
      <c r="P17" s="18"/>
      <c r="R17" s="18"/>
    </row>
    <row r="18" spans="1:19" x14ac:dyDescent="0.3">
      <c r="A18" s="18">
        <v>15</v>
      </c>
      <c r="B18" s="17" t="s">
        <v>97</v>
      </c>
      <c r="D18" s="18">
        <v>0</v>
      </c>
      <c r="E18" s="18">
        <v>0</v>
      </c>
      <c r="F18" s="18">
        <v>3</v>
      </c>
      <c r="G18" s="18">
        <v>0</v>
      </c>
      <c r="H18" s="18">
        <v>8</v>
      </c>
      <c r="I18" s="25">
        <f t="shared" si="3"/>
        <v>24584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1:19" x14ac:dyDescent="0.3">
      <c r="A19" s="18">
        <v>16</v>
      </c>
      <c r="B19" s="17" t="s">
        <v>97</v>
      </c>
      <c r="D19" s="18">
        <v>0</v>
      </c>
      <c r="E19" s="18">
        <v>0</v>
      </c>
      <c r="F19" s="18">
        <v>3</v>
      </c>
      <c r="G19" s="18">
        <v>0</v>
      </c>
      <c r="H19" s="18">
        <v>8</v>
      </c>
      <c r="I19" s="25">
        <f t="shared" si="3"/>
        <v>24584</v>
      </c>
      <c r="J19" s="18"/>
      <c r="K19" s="18"/>
      <c r="L19" s="18"/>
      <c r="M19" s="18"/>
      <c r="N19" s="18"/>
      <c r="P19" s="18"/>
      <c r="Q19" s="18"/>
      <c r="R19" s="18"/>
      <c r="S19" s="18"/>
    </row>
    <row r="20" spans="1:19" x14ac:dyDescent="0.3">
      <c r="A20" s="18">
        <v>17</v>
      </c>
      <c r="B20" s="17" t="s">
        <v>97</v>
      </c>
      <c r="D20" s="18">
        <v>0</v>
      </c>
      <c r="E20" s="18">
        <v>0</v>
      </c>
      <c r="F20" s="18">
        <v>3</v>
      </c>
      <c r="G20" s="18">
        <v>0</v>
      </c>
      <c r="H20" s="18">
        <v>8</v>
      </c>
      <c r="I20" s="25">
        <f t="shared" si="3"/>
        <v>24584</v>
      </c>
      <c r="J20" s="18"/>
      <c r="K20" s="18"/>
      <c r="L20" s="18"/>
      <c r="M20" s="18"/>
      <c r="N20" s="18"/>
      <c r="P20" s="18"/>
      <c r="Q20" s="18"/>
      <c r="R20" s="18"/>
      <c r="S20" s="18"/>
    </row>
    <row r="21" spans="1:19" x14ac:dyDescent="0.3">
      <c r="A21" s="18">
        <v>18</v>
      </c>
      <c r="B21" s="17" t="s">
        <v>97</v>
      </c>
      <c r="D21" s="18">
        <v>0</v>
      </c>
      <c r="E21" s="18">
        <v>0</v>
      </c>
      <c r="F21" s="18">
        <v>3</v>
      </c>
      <c r="G21" s="18">
        <v>0</v>
      </c>
      <c r="H21" s="18">
        <v>8</v>
      </c>
      <c r="I21" s="25">
        <f t="shared" ref="I21" si="4">2^17*D21+2^16*E21+2^13*F21+2^7*G21+H21</f>
        <v>24584</v>
      </c>
      <c r="J21" s="18"/>
      <c r="K21" s="18"/>
      <c r="L21" s="18"/>
      <c r="M21" s="18"/>
      <c r="N21" s="18"/>
      <c r="P21" s="18"/>
      <c r="Q21" s="18"/>
      <c r="R21" s="18"/>
      <c r="S21" s="18"/>
    </row>
    <row r="22" spans="1:19" x14ac:dyDescent="0.3">
      <c r="A22" s="18">
        <v>19</v>
      </c>
      <c r="B22" s="17" t="s">
        <v>97</v>
      </c>
      <c r="D22" s="18">
        <v>0</v>
      </c>
      <c r="E22" s="18">
        <v>0</v>
      </c>
      <c r="F22" s="18">
        <v>3</v>
      </c>
      <c r="G22" s="18">
        <v>0</v>
      </c>
      <c r="H22" s="18">
        <v>8</v>
      </c>
      <c r="I22" s="25">
        <f t="shared" ref="I22:I23" si="5">2^17*D22+2^16*E22+2^13*F22+2^7*G22+H22</f>
        <v>24584</v>
      </c>
      <c r="K22" s="18"/>
      <c r="M22" s="18"/>
      <c r="O22" s="18"/>
      <c r="Q22" s="18"/>
      <c r="S22" s="18"/>
    </row>
    <row r="23" spans="1:19" x14ac:dyDescent="0.3">
      <c r="A23" s="18">
        <v>20</v>
      </c>
      <c r="B23" s="17" t="s">
        <v>97</v>
      </c>
      <c r="D23" s="18">
        <v>0</v>
      </c>
      <c r="E23" s="18">
        <v>0</v>
      </c>
      <c r="F23" s="18">
        <v>3</v>
      </c>
      <c r="G23" s="18">
        <v>0</v>
      </c>
      <c r="H23" s="18">
        <v>8</v>
      </c>
      <c r="I23" s="25">
        <f t="shared" si="5"/>
        <v>24584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1:19" x14ac:dyDescent="0.3">
      <c r="A24" s="18">
        <v>21</v>
      </c>
      <c r="B24" s="17" t="s">
        <v>94</v>
      </c>
      <c r="C24" s="17" t="s">
        <v>298</v>
      </c>
      <c r="D24" s="18">
        <v>0</v>
      </c>
      <c r="E24" s="18">
        <v>0</v>
      </c>
      <c r="F24" s="18">
        <v>3</v>
      </c>
      <c r="G24" s="18">
        <v>0</v>
      </c>
      <c r="H24" s="18">
        <v>8</v>
      </c>
      <c r="I24" s="25">
        <f t="shared" ref="I24" si="6">2^17*D24+2^16*E24+2^13*F24+2^7*G24+H24</f>
        <v>24584</v>
      </c>
      <c r="J24" s="18"/>
      <c r="K24" s="18"/>
      <c r="L24" s="18" t="s">
        <v>99</v>
      </c>
      <c r="M24" s="18"/>
      <c r="N24" s="18"/>
      <c r="O24" s="18"/>
      <c r="P24" s="18"/>
      <c r="Q24" s="18"/>
      <c r="R24" s="18"/>
      <c r="S24" s="18"/>
    </row>
    <row r="25" spans="1:19" x14ac:dyDescent="0.3">
      <c r="A25" s="18">
        <v>22</v>
      </c>
      <c r="B25" s="17" t="s">
        <v>296</v>
      </c>
      <c r="C25" s="17" t="s">
        <v>299</v>
      </c>
      <c r="D25" s="18">
        <v>0</v>
      </c>
      <c r="E25" s="18">
        <v>0</v>
      </c>
      <c r="F25" s="18">
        <v>3</v>
      </c>
      <c r="G25" s="18">
        <v>0</v>
      </c>
      <c r="H25" s="18">
        <v>16</v>
      </c>
      <c r="I25" s="25">
        <f t="shared" ref="I25" si="7">2^17*D25+2^16*E25+2^13*F25+2^7*G25+H25</f>
        <v>24592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1:19" x14ac:dyDescent="0.3">
      <c r="A26" s="18">
        <v>23</v>
      </c>
      <c r="B26" s="17" t="s">
        <v>297</v>
      </c>
      <c r="C26" s="17" t="s">
        <v>300</v>
      </c>
      <c r="D26" s="18">
        <v>0</v>
      </c>
      <c r="E26" s="18">
        <v>0</v>
      </c>
      <c r="F26" s="18">
        <v>3</v>
      </c>
      <c r="G26" s="18">
        <v>0</v>
      </c>
      <c r="H26" s="18">
        <v>0</v>
      </c>
      <c r="I26" s="25">
        <f>2^17*D26+2^16*E26+2^13*F26+2^7*G26+H26</f>
        <v>24576</v>
      </c>
      <c r="J26" s="18"/>
      <c r="K26" s="18" t="s">
        <v>100</v>
      </c>
      <c r="L26" s="18"/>
      <c r="M26" s="18" t="s">
        <v>100</v>
      </c>
      <c r="N26" s="18"/>
      <c r="P26" s="18"/>
      <c r="R26" s="18"/>
    </row>
    <row r="27" spans="1:19" x14ac:dyDescent="0.3">
      <c r="I27" s="17" t="s">
        <v>179</v>
      </c>
      <c r="J27" s="20">
        <v>0</v>
      </c>
      <c r="K27" s="26"/>
      <c r="L27" s="20">
        <v>21</v>
      </c>
      <c r="M27" s="26"/>
      <c r="N27" s="20">
        <v>5</v>
      </c>
      <c r="O27" s="20"/>
      <c r="P27" s="20">
        <v>0</v>
      </c>
      <c r="Q27" s="20"/>
      <c r="R27" s="20">
        <v>0</v>
      </c>
      <c r="S27" s="26"/>
    </row>
    <row r="28" spans="1:19" x14ac:dyDescent="0.3">
      <c r="I28" s="17" t="s">
        <v>180</v>
      </c>
      <c r="J28" s="20">
        <v>23</v>
      </c>
      <c r="K28" s="26"/>
      <c r="L28" s="20">
        <v>23</v>
      </c>
      <c r="M28" s="26"/>
      <c r="N28" s="20">
        <v>10</v>
      </c>
      <c r="O28" s="20"/>
      <c r="P28" s="20">
        <v>4</v>
      </c>
      <c r="Q28" s="20"/>
      <c r="R28" s="20">
        <v>0</v>
      </c>
      <c r="S28" s="26"/>
    </row>
    <row r="29" spans="1:19" x14ac:dyDescent="0.3">
      <c r="I29" s="17" t="s">
        <v>181</v>
      </c>
      <c r="J29" s="26">
        <v>0</v>
      </c>
      <c r="K29" s="26"/>
      <c r="L29" s="26">
        <v>0</v>
      </c>
      <c r="M29" s="26"/>
      <c r="N29" s="26">
        <v>0</v>
      </c>
      <c r="O29" s="26"/>
      <c r="P29" s="26">
        <v>0</v>
      </c>
      <c r="Q29" s="26"/>
      <c r="R29" s="26">
        <v>0</v>
      </c>
      <c r="S29" s="26"/>
    </row>
    <row r="30" spans="1:19" x14ac:dyDescent="0.3">
      <c r="I30" s="17" t="s">
        <v>182</v>
      </c>
      <c r="J30" s="26" t="s">
        <v>101</v>
      </c>
      <c r="K30" s="26"/>
      <c r="L30" s="26" t="s">
        <v>101</v>
      </c>
      <c r="M30" s="26"/>
      <c r="N30" s="26" t="s">
        <v>101</v>
      </c>
      <c r="O30" s="26"/>
      <c r="P30" s="26" t="s">
        <v>101</v>
      </c>
      <c r="Q30" s="26"/>
      <c r="R30" s="26" t="s">
        <v>101</v>
      </c>
      <c r="S30" s="26"/>
    </row>
    <row r="31" spans="1:19" x14ac:dyDescent="0.3">
      <c r="I31" s="17" t="s">
        <v>183</v>
      </c>
      <c r="J31" s="27" t="s">
        <v>0</v>
      </c>
      <c r="K31" s="26"/>
      <c r="L31" s="27" t="s">
        <v>0</v>
      </c>
      <c r="M31" s="26"/>
      <c r="N31" s="27" t="s">
        <v>0</v>
      </c>
      <c r="O31" s="26"/>
      <c r="P31" s="27" t="s">
        <v>0</v>
      </c>
      <c r="Q31" s="26"/>
      <c r="R31" s="27" t="s">
        <v>0</v>
      </c>
      <c r="S31" s="26"/>
    </row>
    <row r="32" spans="1:19" x14ac:dyDescent="0.3">
      <c r="I32" s="17" t="s">
        <v>184</v>
      </c>
      <c r="J32" s="26">
        <v>0</v>
      </c>
      <c r="K32" s="26"/>
      <c r="L32" s="26">
        <v>1</v>
      </c>
      <c r="M32" s="26"/>
      <c r="N32" s="26">
        <v>1</v>
      </c>
      <c r="O32" s="26"/>
      <c r="P32" s="26">
        <f>2^4+2^0</f>
        <v>17</v>
      </c>
      <c r="Q32" s="26"/>
      <c r="R32" s="26">
        <v>0</v>
      </c>
      <c r="S32" s="26"/>
    </row>
    <row r="33" spans="1:19" ht="28.8" x14ac:dyDescent="0.3">
      <c r="I33" s="23" t="s">
        <v>175</v>
      </c>
      <c r="J33" s="27" t="s">
        <v>0</v>
      </c>
      <c r="K33" s="26"/>
      <c r="L33" s="26" t="s">
        <v>109</v>
      </c>
      <c r="M33" s="26"/>
      <c r="N33" s="26" t="s">
        <v>109</v>
      </c>
      <c r="O33" s="26"/>
      <c r="P33" s="26" t="s">
        <v>119</v>
      </c>
      <c r="Q33" s="26"/>
      <c r="R33" s="27" t="s">
        <v>0</v>
      </c>
      <c r="S33" s="26"/>
    </row>
    <row r="34" spans="1:19" ht="28.8" x14ac:dyDescent="0.3">
      <c r="I34" s="23" t="s">
        <v>174</v>
      </c>
      <c r="J34" s="28" t="s">
        <v>102</v>
      </c>
      <c r="K34" s="26"/>
      <c r="L34" s="26" t="s">
        <v>150</v>
      </c>
      <c r="M34" s="26"/>
      <c r="N34" s="26" t="s">
        <v>150</v>
      </c>
      <c r="O34" s="26"/>
      <c r="P34" s="26" t="s">
        <v>134</v>
      </c>
      <c r="Q34" s="26"/>
      <c r="R34" s="26" t="s">
        <v>71</v>
      </c>
      <c r="S34" s="26"/>
    </row>
    <row r="36" spans="1:19" x14ac:dyDescent="0.3">
      <c r="A36" s="18">
        <v>1</v>
      </c>
      <c r="B36" s="17">
        <v>2</v>
      </c>
      <c r="C36" s="17">
        <v>3</v>
      </c>
      <c r="D36" s="18">
        <v>4</v>
      </c>
      <c r="E36" s="17">
        <v>5</v>
      </c>
      <c r="F36" s="17">
        <v>6</v>
      </c>
      <c r="G36" s="18">
        <v>7</v>
      </c>
      <c r="H36" s="17">
        <v>8</v>
      </c>
      <c r="I36" s="17">
        <v>9</v>
      </c>
      <c r="J36" s="18">
        <v>10</v>
      </c>
      <c r="K36" s="17">
        <v>11</v>
      </c>
      <c r="L36" s="17">
        <v>12</v>
      </c>
      <c r="M36" s="18">
        <v>13</v>
      </c>
      <c r="N36" s="17">
        <v>14</v>
      </c>
      <c r="O36" s="17">
        <v>15</v>
      </c>
      <c r="P36" s="18">
        <v>16</v>
      </c>
      <c r="Q36" s="17">
        <v>17</v>
      </c>
    </row>
  </sheetData>
  <customSheetViews>
    <customSheetView guid="{EAB3996E-FAEF-43F6-8577-BE0258DFEECA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  <customSheetView guid="{AB8E8BA2-0521-46C5-947F-61508E76D025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4"/>
  <sheetViews>
    <sheetView zoomScale="85" zoomScaleNormal="85" workbookViewId="0">
      <pane xSplit="9" ySplit="2" topLeftCell="L6" activePane="bottomRight" state="frozen"/>
      <selection pane="topRight" activeCell="J1" sqref="J1"/>
      <selection pane="bottomLeft" activeCell="A3" sqref="A3"/>
      <selection pane="bottomRight" activeCell="C29" sqref="C29"/>
    </sheetView>
  </sheetViews>
  <sheetFormatPr defaultRowHeight="14.4" x14ac:dyDescent="0.3"/>
  <cols>
    <col min="1" max="1" width="9" style="18" bestFit="1" customWidth="1"/>
    <col min="2" max="2" width="22.109375" style="17" customWidth="1"/>
    <col min="3" max="3" width="23.33203125" style="17" bestFit="1" customWidth="1"/>
    <col min="4" max="8" width="5.33203125" style="18" bestFit="1" customWidth="1"/>
    <col min="9" max="9" width="19.5546875" style="18" bestFit="1" customWidth="1"/>
    <col min="10" max="10" width="20.109375" style="17" bestFit="1" customWidth="1"/>
    <col min="11" max="11" width="16.88671875" style="17" bestFit="1" customWidth="1"/>
    <col min="12" max="12" width="19.6640625" style="17" bestFit="1" customWidth="1"/>
    <col min="13" max="13" width="16.33203125" style="17" bestFit="1" customWidth="1"/>
    <col min="14" max="14" width="20.109375" style="17" bestFit="1" customWidth="1"/>
    <col min="15" max="15" width="16.33203125" style="17" bestFit="1" customWidth="1"/>
    <col min="16" max="16" width="20.109375" style="17" bestFit="1" customWidth="1"/>
    <col min="17" max="17" width="12.44140625" style="17" bestFit="1" customWidth="1"/>
    <col min="18" max="18" width="20.109375" style="17" bestFit="1" customWidth="1"/>
    <col min="19" max="19" width="11.109375" style="17" bestFit="1" customWidth="1"/>
    <col min="20" max="16384" width="8.88671875" style="17"/>
  </cols>
  <sheetData>
    <row r="1" spans="1:19" x14ac:dyDescent="0.3">
      <c r="J1" s="21" t="s">
        <v>185</v>
      </c>
      <c r="K1" s="22"/>
      <c r="L1" s="21" t="s">
        <v>186</v>
      </c>
      <c r="M1" s="22"/>
      <c r="N1" s="21" t="s">
        <v>187</v>
      </c>
      <c r="O1" s="22"/>
      <c r="P1" s="21" t="s">
        <v>188</v>
      </c>
      <c r="Q1" s="22"/>
      <c r="R1" s="21" t="s">
        <v>189</v>
      </c>
      <c r="S1" s="22"/>
    </row>
    <row r="2" spans="1:19" ht="64.5" customHeight="1" x14ac:dyDescent="0.3">
      <c r="A2" s="23" t="s">
        <v>103</v>
      </c>
      <c r="B2" s="17" t="s">
        <v>91</v>
      </c>
      <c r="C2" s="17" t="s">
        <v>92</v>
      </c>
      <c r="D2" s="24" t="s">
        <v>87</v>
      </c>
      <c r="E2" s="24" t="s">
        <v>88</v>
      </c>
      <c r="F2" s="24" t="s">
        <v>89</v>
      </c>
      <c r="G2" s="24" t="s">
        <v>90</v>
      </c>
      <c r="H2" s="24" t="s">
        <v>93</v>
      </c>
      <c r="I2" s="23" t="s">
        <v>190</v>
      </c>
      <c r="J2" s="18" t="s">
        <v>99</v>
      </c>
      <c r="K2" s="18" t="s">
        <v>100</v>
      </c>
      <c r="L2" s="18" t="s">
        <v>99</v>
      </c>
      <c r="M2" s="18" t="s">
        <v>100</v>
      </c>
      <c r="N2" s="18" t="s">
        <v>99</v>
      </c>
      <c r="O2" s="18" t="s">
        <v>100</v>
      </c>
      <c r="P2" s="18" t="s">
        <v>99</v>
      </c>
      <c r="Q2" s="18" t="s">
        <v>100</v>
      </c>
      <c r="R2" s="18" t="s">
        <v>99</v>
      </c>
      <c r="S2" s="18" t="s">
        <v>100</v>
      </c>
    </row>
    <row r="3" spans="1:19" x14ac:dyDescent="0.3">
      <c r="A3" s="18">
        <v>0</v>
      </c>
      <c r="B3" s="17" t="s">
        <v>95</v>
      </c>
      <c r="C3" s="17" t="s">
        <v>301</v>
      </c>
      <c r="D3" s="18">
        <v>0</v>
      </c>
      <c r="E3" s="18">
        <v>0</v>
      </c>
      <c r="F3" s="18">
        <v>3</v>
      </c>
      <c r="G3" s="18">
        <v>0</v>
      </c>
      <c r="H3" s="18">
        <v>4</v>
      </c>
      <c r="I3" s="25">
        <f t="shared" ref="I3" si="0">2^17*D3+2^16*E3+2^13*F3+2^7*G3+H3</f>
        <v>24580</v>
      </c>
      <c r="J3" s="18" t="s">
        <v>99</v>
      </c>
      <c r="K3" s="18"/>
      <c r="M3" s="18"/>
      <c r="O3" s="18"/>
      <c r="P3" s="18" t="s">
        <v>99</v>
      </c>
      <c r="Q3" s="18"/>
      <c r="R3" s="18" t="s">
        <v>99</v>
      </c>
      <c r="S3" s="18" t="s">
        <v>100</v>
      </c>
    </row>
    <row r="4" spans="1:19" x14ac:dyDescent="0.3">
      <c r="A4" s="18">
        <v>1</v>
      </c>
      <c r="B4" s="17" t="s">
        <v>2</v>
      </c>
      <c r="C4" s="17" t="s">
        <v>78</v>
      </c>
      <c r="D4" s="18">
        <v>0</v>
      </c>
      <c r="E4" s="18">
        <v>0</v>
      </c>
      <c r="F4" s="18">
        <v>0</v>
      </c>
      <c r="G4" s="18">
        <v>0</v>
      </c>
      <c r="H4" s="18">
        <v>2</v>
      </c>
      <c r="I4" s="25">
        <f t="shared" ref="I4" si="1">2^17*D4+2^16*E4+2^13*F4+2^7*G4+H4</f>
        <v>2</v>
      </c>
      <c r="J4" s="18"/>
      <c r="K4" s="18"/>
      <c r="L4" s="18"/>
      <c r="M4" s="18"/>
      <c r="N4" s="18"/>
      <c r="O4" s="18"/>
      <c r="P4" s="18"/>
      <c r="Q4" s="18"/>
      <c r="R4" s="18"/>
      <c r="S4" s="18"/>
    </row>
    <row r="5" spans="1:19" x14ac:dyDescent="0.3">
      <c r="A5" s="18">
        <v>2</v>
      </c>
      <c r="B5" s="17" t="s">
        <v>3</v>
      </c>
      <c r="C5" s="17" t="s">
        <v>77</v>
      </c>
      <c r="D5" s="18">
        <v>0</v>
      </c>
      <c r="E5" s="18">
        <v>0</v>
      </c>
      <c r="F5" s="18">
        <v>0</v>
      </c>
      <c r="G5" s="18">
        <v>0</v>
      </c>
      <c r="H5" s="18">
        <v>9</v>
      </c>
      <c r="I5" s="25">
        <f>2^17*D5+2^16*E5+2^13*F5+2^7*G5+H5</f>
        <v>9</v>
      </c>
      <c r="J5" s="18"/>
      <c r="K5" s="18"/>
      <c r="L5" s="18"/>
      <c r="M5" s="18"/>
      <c r="N5" s="18"/>
      <c r="O5" s="18"/>
      <c r="P5" s="18"/>
      <c r="Q5" s="18"/>
      <c r="R5" s="18"/>
      <c r="S5" s="18"/>
    </row>
    <row r="6" spans="1:19" x14ac:dyDescent="0.3">
      <c r="A6" s="18">
        <v>3</v>
      </c>
      <c r="B6" s="17" t="s">
        <v>96</v>
      </c>
      <c r="C6" s="19" t="s">
        <v>302</v>
      </c>
      <c r="D6" s="18">
        <v>0</v>
      </c>
      <c r="E6" s="18">
        <v>0</v>
      </c>
      <c r="F6" s="18">
        <v>3</v>
      </c>
      <c r="G6" s="18">
        <v>0</v>
      </c>
      <c r="H6" s="18">
        <v>12</v>
      </c>
      <c r="I6" s="25">
        <f>2^17*D6+2^16*E6+2^13*F6+2^7*G6+H6</f>
        <v>24588</v>
      </c>
      <c r="J6" s="18"/>
      <c r="K6" s="18"/>
      <c r="L6" s="18"/>
      <c r="M6" s="18"/>
      <c r="N6" s="18"/>
      <c r="O6" s="18"/>
      <c r="P6" s="18"/>
      <c r="Q6" s="18" t="s">
        <v>100</v>
      </c>
      <c r="R6" s="18"/>
      <c r="S6" s="18"/>
    </row>
    <row r="7" spans="1:19" x14ac:dyDescent="0.3">
      <c r="A7" s="18">
        <v>4</v>
      </c>
      <c r="B7" s="17" t="s">
        <v>95</v>
      </c>
      <c r="C7" s="19" t="s">
        <v>303</v>
      </c>
      <c r="D7" s="18">
        <v>0</v>
      </c>
      <c r="E7" s="18">
        <v>0</v>
      </c>
      <c r="F7" s="18">
        <v>3</v>
      </c>
      <c r="G7" s="18">
        <v>0</v>
      </c>
      <c r="H7" s="18">
        <v>4</v>
      </c>
      <c r="I7" s="25">
        <f>2^17*D7+2^16*E7+2^13*F7+2^7*G7+H7</f>
        <v>24580</v>
      </c>
      <c r="J7" s="18"/>
      <c r="K7" s="18"/>
      <c r="L7" s="18"/>
      <c r="M7" s="18"/>
      <c r="N7" s="18" t="s">
        <v>99</v>
      </c>
      <c r="O7" s="18"/>
      <c r="P7" s="18"/>
      <c r="Q7" s="18"/>
      <c r="R7" s="18"/>
      <c r="S7" s="18"/>
    </row>
    <row r="8" spans="1:19" x14ac:dyDescent="0.3">
      <c r="A8" s="18">
        <v>5</v>
      </c>
      <c r="B8" s="17" t="s">
        <v>1</v>
      </c>
      <c r="C8" s="17" t="s">
        <v>76</v>
      </c>
      <c r="D8" s="18">
        <v>0</v>
      </c>
      <c r="E8" s="18">
        <v>0</v>
      </c>
      <c r="F8" s="18">
        <v>0</v>
      </c>
      <c r="G8" s="18">
        <v>0</v>
      </c>
      <c r="H8" s="18">
        <v>1</v>
      </c>
      <c r="I8" s="25">
        <f>2^17*D8+2^16*E8+2^13*F8+2^7*G8+H8</f>
        <v>1</v>
      </c>
      <c r="J8" s="18"/>
      <c r="K8" s="18"/>
      <c r="L8" s="18"/>
      <c r="M8" s="18"/>
      <c r="N8" s="18"/>
      <c r="O8" s="18"/>
      <c r="P8" s="18"/>
      <c r="R8" s="18"/>
    </row>
    <row r="9" spans="1:19" x14ac:dyDescent="0.3">
      <c r="A9" s="18">
        <v>6</v>
      </c>
      <c r="B9" s="17" t="s">
        <v>96</v>
      </c>
      <c r="C9" s="19" t="s">
        <v>304</v>
      </c>
      <c r="D9" s="18">
        <v>0</v>
      </c>
      <c r="E9" s="18">
        <v>0</v>
      </c>
      <c r="F9" s="18">
        <v>3</v>
      </c>
      <c r="G9" s="18">
        <v>0</v>
      </c>
      <c r="H9" s="18">
        <v>12</v>
      </c>
      <c r="I9" s="25">
        <f>2^17*D9+2^16*E9+2^13*F9+2^7*G9+H9</f>
        <v>24588</v>
      </c>
      <c r="J9" s="18"/>
      <c r="K9" s="18"/>
      <c r="L9" s="18"/>
      <c r="M9" s="18"/>
      <c r="O9" s="18" t="s">
        <v>100</v>
      </c>
      <c r="S9" s="18"/>
    </row>
    <row r="10" spans="1:19" x14ac:dyDescent="0.3">
      <c r="A10" s="18">
        <v>7</v>
      </c>
      <c r="B10" s="17" t="s">
        <v>97</v>
      </c>
      <c r="C10" s="19"/>
      <c r="D10" s="18">
        <v>0</v>
      </c>
      <c r="E10" s="18">
        <v>0</v>
      </c>
      <c r="F10" s="18">
        <v>3</v>
      </c>
      <c r="G10" s="18">
        <v>0</v>
      </c>
      <c r="H10" s="18">
        <v>8</v>
      </c>
      <c r="I10" s="25">
        <f t="shared" ref="I10:I13" si="2">2^17*D10+2^16*E10+2^13*F10+2^7*G10+H10</f>
        <v>24584</v>
      </c>
      <c r="J10" s="18"/>
      <c r="K10" s="18"/>
      <c r="L10" s="18"/>
      <c r="M10" s="18"/>
      <c r="O10" s="18"/>
      <c r="R10" s="18"/>
      <c r="S10" s="18"/>
    </row>
    <row r="11" spans="1:19" x14ac:dyDescent="0.3">
      <c r="A11" s="18">
        <v>8</v>
      </c>
      <c r="B11" s="17" t="s">
        <v>97</v>
      </c>
      <c r="C11" s="19"/>
      <c r="D11" s="18">
        <v>0</v>
      </c>
      <c r="E11" s="18">
        <v>0</v>
      </c>
      <c r="F11" s="18">
        <v>3</v>
      </c>
      <c r="G11" s="18">
        <v>0</v>
      </c>
      <c r="H11" s="18">
        <v>8</v>
      </c>
      <c r="I11" s="25">
        <f t="shared" si="2"/>
        <v>24584</v>
      </c>
      <c r="J11" s="18"/>
      <c r="K11" s="18"/>
      <c r="L11" s="18"/>
      <c r="M11" s="18"/>
      <c r="P11" s="18"/>
      <c r="R11" s="18"/>
      <c r="S11" s="18"/>
    </row>
    <row r="12" spans="1:19" x14ac:dyDescent="0.3">
      <c r="A12" s="18">
        <v>9</v>
      </c>
      <c r="B12" s="17" t="s">
        <v>97</v>
      </c>
      <c r="D12" s="18">
        <v>0</v>
      </c>
      <c r="E12" s="18">
        <v>0</v>
      </c>
      <c r="F12" s="18">
        <v>3</v>
      </c>
      <c r="G12" s="18">
        <v>0</v>
      </c>
      <c r="H12" s="18">
        <v>8</v>
      </c>
      <c r="I12" s="25">
        <f t="shared" si="2"/>
        <v>24584</v>
      </c>
      <c r="J12" s="18"/>
      <c r="K12" s="18"/>
      <c r="L12" s="18"/>
      <c r="M12" s="18"/>
      <c r="N12" s="18"/>
      <c r="P12" s="18"/>
      <c r="Q12" s="18"/>
      <c r="R12" s="18"/>
      <c r="S12" s="18"/>
    </row>
    <row r="13" spans="1:19" x14ac:dyDescent="0.3">
      <c r="A13" s="18">
        <v>10</v>
      </c>
      <c r="B13" s="17" t="s">
        <v>97</v>
      </c>
      <c r="D13" s="18">
        <v>0</v>
      </c>
      <c r="E13" s="18">
        <v>0</v>
      </c>
      <c r="F13" s="18">
        <v>3</v>
      </c>
      <c r="G13" s="18">
        <v>0</v>
      </c>
      <c r="H13" s="18">
        <v>8</v>
      </c>
      <c r="I13" s="25">
        <f t="shared" si="2"/>
        <v>24584</v>
      </c>
      <c r="J13" s="18"/>
      <c r="K13" s="18"/>
      <c r="L13" s="18"/>
      <c r="M13" s="18"/>
      <c r="P13" s="18"/>
      <c r="Q13" s="18"/>
      <c r="R13" s="18"/>
      <c r="S13" s="18"/>
    </row>
    <row r="14" spans="1:19" x14ac:dyDescent="0.3">
      <c r="A14" s="18">
        <v>11</v>
      </c>
      <c r="B14" s="17" t="s">
        <v>97</v>
      </c>
      <c r="C14" s="19"/>
      <c r="D14" s="18">
        <v>0</v>
      </c>
      <c r="E14" s="18">
        <v>0</v>
      </c>
      <c r="F14" s="18">
        <v>3</v>
      </c>
      <c r="G14" s="18">
        <v>0</v>
      </c>
      <c r="H14" s="18">
        <v>8</v>
      </c>
      <c r="I14" s="25">
        <f t="shared" ref="I14:I26" si="3">2^17*D14+2^16*E14+2^13*F14+2^7*G14+H14</f>
        <v>24584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1:19" x14ac:dyDescent="0.3">
      <c r="A15" s="18">
        <v>12</v>
      </c>
      <c r="B15" s="17" t="s">
        <v>97</v>
      </c>
      <c r="D15" s="18">
        <v>0</v>
      </c>
      <c r="E15" s="18">
        <v>0</v>
      </c>
      <c r="F15" s="18">
        <v>3</v>
      </c>
      <c r="G15" s="18">
        <v>0</v>
      </c>
      <c r="H15" s="18">
        <v>8</v>
      </c>
      <c r="I15" s="25">
        <f t="shared" si="3"/>
        <v>24584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1:19" x14ac:dyDescent="0.3">
      <c r="A16" s="18">
        <v>13</v>
      </c>
      <c r="B16" s="17" t="s">
        <v>97</v>
      </c>
      <c r="D16" s="18">
        <v>0</v>
      </c>
      <c r="E16" s="18">
        <v>0</v>
      </c>
      <c r="F16" s="18">
        <v>3</v>
      </c>
      <c r="G16" s="18">
        <v>0</v>
      </c>
      <c r="H16" s="18">
        <v>8</v>
      </c>
      <c r="I16" s="25">
        <f t="shared" si="3"/>
        <v>24584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1:19" x14ac:dyDescent="0.3">
      <c r="A17" s="18">
        <v>14</v>
      </c>
      <c r="B17" s="17" t="s">
        <v>97</v>
      </c>
      <c r="D17" s="18">
        <v>0</v>
      </c>
      <c r="E17" s="18">
        <v>0</v>
      </c>
      <c r="F17" s="18">
        <v>3</v>
      </c>
      <c r="G17" s="18">
        <v>0</v>
      </c>
      <c r="H17" s="18">
        <v>8</v>
      </c>
      <c r="I17" s="25">
        <f t="shared" si="3"/>
        <v>24584</v>
      </c>
      <c r="J17" s="18"/>
      <c r="K17" s="18"/>
      <c r="L17" s="18"/>
      <c r="M17" s="18"/>
      <c r="N17" s="18"/>
      <c r="P17" s="18"/>
      <c r="R17" s="18"/>
    </row>
    <row r="18" spans="1:19" x14ac:dyDescent="0.3">
      <c r="A18" s="18">
        <v>15</v>
      </c>
      <c r="B18" s="17" t="s">
        <v>97</v>
      </c>
      <c r="D18" s="18">
        <v>0</v>
      </c>
      <c r="E18" s="18">
        <v>0</v>
      </c>
      <c r="F18" s="18">
        <v>3</v>
      </c>
      <c r="G18" s="18">
        <v>0</v>
      </c>
      <c r="H18" s="18">
        <v>8</v>
      </c>
      <c r="I18" s="25">
        <f t="shared" si="3"/>
        <v>24584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1:19" x14ac:dyDescent="0.3">
      <c r="A19" s="18">
        <v>16</v>
      </c>
      <c r="B19" s="17" t="s">
        <v>97</v>
      </c>
      <c r="D19" s="18">
        <v>0</v>
      </c>
      <c r="E19" s="18">
        <v>0</v>
      </c>
      <c r="F19" s="18">
        <v>3</v>
      </c>
      <c r="G19" s="18">
        <v>0</v>
      </c>
      <c r="H19" s="18">
        <v>8</v>
      </c>
      <c r="I19" s="25">
        <f t="shared" si="3"/>
        <v>24584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1:19" x14ac:dyDescent="0.3">
      <c r="A20" s="18">
        <v>17</v>
      </c>
      <c r="B20" s="17" t="s">
        <v>97</v>
      </c>
      <c r="D20" s="18">
        <v>0</v>
      </c>
      <c r="E20" s="18">
        <v>0</v>
      </c>
      <c r="F20" s="18">
        <v>3</v>
      </c>
      <c r="G20" s="18">
        <v>0</v>
      </c>
      <c r="H20" s="18">
        <v>8</v>
      </c>
      <c r="I20" s="25">
        <f t="shared" si="3"/>
        <v>24584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1:19" x14ac:dyDescent="0.3">
      <c r="A21" s="18">
        <v>18</v>
      </c>
      <c r="B21" s="17" t="s">
        <v>97</v>
      </c>
      <c r="D21" s="18">
        <v>0</v>
      </c>
      <c r="E21" s="18">
        <v>0</v>
      </c>
      <c r="F21" s="18">
        <v>3</v>
      </c>
      <c r="G21" s="18">
        <v>0</v>
      </c>
      <c r="H21" s="18">
        <v>8</v>
      </c>
      <c r="I21" s="25">
        <f t="shared" si="3"/>
        <v>24584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1:19" x14ac:dyDescent="0.3">
      <c r="A22" s="18">
        <v>19</v>
      </c>
      <c r="B22" s="17" t="s">
        <v>97</v>
      </c>
      <c r="D22" s="18">
        <v>0</v>
      </c>
      <c r="E22" s="18">
        <v>0</v>
      </c>
      <c r="F22" s="18">
        <v>3</v>
      </c>
      <c r="G22" s="18">
        <v>0</v>
      </c>
      <c r="H22" s="18">
        <v>8</v>
      </c>
      <c r="I22" s="25">
        <f t="shared" si="3"/>
        <v>24584</v>
      </c>
      <c r="K22" s="18"/>
      <c r="M22" s="18"/>
      <c r="O22" s="18"/>
      <c r="Q22" s="18"/>
      <c r="S22" s="18"/>
    </row>
    <row r="23" spans="1:19" x14ac:dyDescent="0.3">
      <c r="A23" s="18">
        <v>20</v>
      </c>
      <c r="B23" s="17" t="s">
        <v>97</v>
      </c>
      <c r="D23" s="18">
        <v>0</v>
      </c>
      <c r="E23" s="18">
        <v>0</v>
      </c>
      <c r="F23" s="18">
        <v>3</v>
      </c>
      <c r="G23" s="18">
        <v>0</v>
      </c>
      <c r="H23" s="18">
        <v>8</v>
      </c>
      <c r="I23" s="25">
        <f t="shared" si="3"/>
        <v>24584</v>
      </c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1:19" x14ac:dyDescent="0.3">
      <c r="A24" s="18">
        <v>21</v>
      </c>
      <c r="B24" s="17" t="s">
        <v>94</v>
      </c>
      <c r="C24" s="17" t="s">
        <v>199</v>
      </c>
      <c r="D24" s="18">
        <v>0</v>
      </c>
      <c r="E24" s="18">
        <v>0</v>
      </c>
      <c r="F24" s="18">
        <v>3</v>
      </c>
      <c r="G24" s="18">
        <v>0</v>
      </c>
      <c r="H24" s="18">
        <v>8</v>
      </c>
      <c r="I24" s="25">
        <f t="shared" si="3"/>
        <v>24584</v>
      </c>
      <c r="J24" s="18"/>
      <c r="K24" s="18"/>
      <c r="L24" s="18" t="s">
        <v>99</v>
      </c>
      <c r="M24" s="18"/>
      <c r="N24" s="18"/>
      <c r="O24" s="18"/>
      <c r="P24" s="18"/>
      <c r="Q24" s="18"/>
      <c r="R24" s="18"/>
      <c r="S24" s="18"/>
    </row>
    <row r="25" spans="1:19" x14ac:dyDescent="0.3">
      <c r="A25" s="18">
        <v>22</v>
      </c>
      <c r="B25" s="17" t="s">
        <v>296</v>
      </c>
      <c r="C25" s="17" t="s">
        <v>200</v>
      </c>
      <c r="D25" s="18">
        <v>0</v>
      </c>
      <c r="E25" s="18">
        <v>0</v>
      </c>
      <c r="F25" s="18">
        <v>3</v>
      </c>
      <c r="G25" s="18">
        <v>0</v>
      </c>
      <c r="H25" s="18">
        <v>16</v>
      </c>
      <c r="I25" s="25">
        <f t="shared" si="3"/>
        <v>24592</v>
      </c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1:19" x14ac:dyDescent="0.3">
      <c r="A26" s="18">
        <v>23</v>
      </c>
      <c r="B26" s="17" t="s">
        <v>297</v>
      </c>
      <c r="C26" s="17" t="s">
        <v>201</v>
      </c>
      <c r="D26" s="18">
        <v>0</v>
      </c>
      <c r="E26" s="18">
        <v>0</v>
      </c>
      <c r="F26" s="18">
        <v>3</v>
      </c>
      <c r="G26" s="18">
        <v>0</v>
      </c>
      <c r="H26" s="18">
        <v>0</v>
      </c>
      <c r="I26" s="25">
        <f t="shared" si="3"/>
        <v>24576</v>
      </c>
      <c r="J26" s="18"/>
      <c r="K26" s="18" t="s">
        <v>100</v>
      </c>
      <c r="L26" s="18"/>
      <c r="M26" s="18" t="s">
        <v>100</v>
      </c>
      <c r="P26" s="18"/>
      <c r="R26" s="18"/>
      <c r="S26" s="18"/>
    </row>
    <row r="27" spans="1:19" x14ac:dyDescent="0.3">
      <c r="I27" s="17" t="s">
        <v>191</v>
      </c>
      <c r="J27" s="20">
        <v>0</v>
      </c>
      <c r="K27" s="26"/>
      <c r="L27" s="20">
        <v>21</v>
      </c>
      <c r="M27" s="26"/>
      <c r="N27" s="20">
        <v>4</v>
      </c>
      <c r="O27" s="20"/>
      <c r="P27" s="20">
        <v>0</v>
      </c>
      <c r="Q27" s="20"/>
      <c r="R27" s="20">
        <v>0</v>
      </c>
      <c r="S27" s="26"/>
    </row>
    <row r="28" spans="1:19" x14ac:dyDescent="0.3">
      <c r="I28" s="17" t="s">
        <v>192</v>
      </c>
      <c r="J28" s="20">
        <v>23</v>
      </c>
      <c r="K28" s="26"/>
      <c r="L28" s="20">
        <v>23</v>
      </c>
      <c r="M28" s="26"/>
      <c r="N28" s="20">
        <v>6</v>
      </c>
      <c r="O28" s="20"/>
      <c r="P28" s="20">
        <v>3</v>
      </c>
      <c r="Q28" s="20"/>
      <c r="R28" s="20">
        <v>0</v>
      </c>
      <c r="S28" s="26"/>
    </row>
    <row r="29" spans="1:19" x14ac:dyDescent="0.3">
      <c r="B29" s="17">
        <f>1/18000*2</f>
        <v>1.1111111111111112E-4</v>
      </c>
      <c r="I29" s="17" t="s">
        <v>193</v>
      </c>
      <c r="J29" s="26">
        <v>0</v>
      </c>
      <c r="K29" s="26"/>
      <c r="L29" s="26">
        <v>0</v>
      </c>
      <c r="M29" s="26"/>
      <c r="N29" s="26">
        <v>0</v>
      </c>
      <c r="O29" s="26"/>
      <c r="P29" s="26">
        <v>0</v>
      </c>
      <c r="Q29" s="26"/>
      <c r="R29" s="26">
        <v>0</v>
      </c>
      <c r="S29" s="26"/>
    </row>
    <row r="30" spans="1:19" x14ac:dyDescent="0.3">
      <c r="I30" s="17" t="s">
        <v>194</v>
      </c>
      <c r="J30" s="26" t="s">
        <v>101</v>
      </c>
      <c r="K30" s="26"/>
      <c r="L30" s="26" t="s">
        <v>101</v>
      </c>
      <c r="M30" s="26"/>
      <c r="N30" s="26" t="s">
        <v>101</v>
      </c>
      <c r="O30" s="26"/>
      <c r="P30" s="26" t="s">
        <v>101</v>
      </c>
      <c r="Q30" s="26"/>
      <c r="R30" s="26" t="s">
        <v>101</v>
      </c>
      <c r="S30" s="26"/>
    </row>
    <row r="31" spans="1:19" x14ac:dyDescent="0.3">
      <c r="I31" s="17" t="s">
        <v>195</v>
      </c>
      <c r="J31" s="27" t="s">
        <v>0</v>
      </c>
      <c r="K31" s="26"/>
      <c r="L31" s="27" t="s">
        <v>0</v>
      </c>
      <c r="M31" s="26"/>
      <c r="N31" s="27" t="s">
        <v>0</v>
      </c>
      <c r="O31" s="26"/>
      <c r="P31" s="27" t="s">
        <v>0</v>
      </c>
      <c r="Q31" s="26"/>
      <c r="R31" s="27" t="s">
        <v>0</v>
      </c>
      <c r="S31" s="26"/>
    </row>
    <row r="32" spans="1:19" x14ac:dyDescent="0.3">
      <c r="I32" s="17" t="s">
        <v>196</v>
      </c>
      <c r="J32" s="26">
        <v>0</v>
      </c>
      <c r="K32" s="26"/>
      <c r="L32" s="26">
        <v>1</v>
      </c>
      <c r="M32" s="26"/>
      <c r="N32" s="26">
        <v>1</v>
      </c>
      <c r="O32" s="26"/>
      <c r="P32" s="26">
        <f>2^4+11</f>
        <v>27</v>
      </c>
      <c r="Q32" s="26"/>
      <c r="R32" s="26">
        <v>0</v>
      </c>
      <c r="S32" s="26"/>
    </row>
    <row r="33" spans="9:19" ht="28.8" x14ac:dyDescent="0.3">
      <c r="I33" s="23" t="s">
        <v>175</v>
      </c>
      <c r="J33" s="27" t="s">
        <v>0</v>
      </c>
      <c r="K33" s="26"/>
      <c r="L33" s="26" t="s">
        <v>107</v>
      </c>
      <c r="M33" s="26"/>
      <c r="N33" s="26" t="s">
        <v>107</v>
      </c>
      <c r="O33" s="26"/>
      <c r="P33" s="26" t="s">
        <v>107</v>
      </c>
      <c r="Q33" s="26"/>
      <c r="R33" s="27" t="s">
        <v>0</v>
      </c>
      <c r="S33" s="26"/>
    </row>
    <row r="34" spans="9:19" ht="28.8" x14ac:dyDescent="0.3">
      <c r="I34" s="23" t="s">
        <v>174</v>
      </c>
      <c r="J34" s="28" t="s">
        <v>102</v>
      </c>
      <c r="K34" s="26"/>
      <c r="L34" s="26" t="s">
        <v>151</v>
      </c>
      <c r="M34" s="26"/>
      <c r="N34" s="26" t="s">
        <v>151</v>
      </c>
      <c r="O34" s="26"/>
      <c r="P34" s="26" t="s">
        <v>151</v>
      </c>
      <c r="Q34" s="26"/>
      <c r="R34" s="26" t="s">
        <v>71</v>
      </c>
      <c r="S34" s="26"/>
    </row>
  </sheetData>
  <customSheetViews>
    <customSheetView guid="{EAB3996E-FAEF-43F6-8577-BE0258DFEECA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1"/>
    </customSheetView>
    <customSheetView guid="{AB8E8BA2-0521-46C5-947F-61508E76D025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1"/>
  <sheetViews>
    <sheetView zoomScaleNormal="100" workbookViewId="0">
      <selection activeCell="E9" sqref="E9"/>
    </sheetView>
  </sheetViews>
  <sheetFormatPr defaultColWidth="9.109375" defaultRowHeight="15" x14ac:dyDescent="0.25"/>
  <cols>
    <col min="1" max="1" width="23.109375" style="2" bestFit="1" customWidth="1"/>
    <col min="2" max="2" width="23.5546875" style="2" customWidth="1"/>
    <col min="3" max="3" width="16.44140625" style="2" customWidth="1"/>
    <col min="4" max="4" width="18" style="2" customWidth="1"/>
    <col min="5" max="5" width="36.44140625" style="2" customWidth="1"/>
    <col min="6" max="6" width="25" style="2" customWidth="1"/>
    <col min="7" max="7" width="20.6640625" style="2" customWidth="1"/>
    <col min="8" max="16384" width="9.109375" style="2"/>
  </cols>
  <sheetData>
    <row r="1" spans="1:7" s="8" customFormat="1" ht="30" x14ac:dyDescent="0.25">
      <c r="A1" s="8" t="s">
        <v>126</v>
      </c>
      <c r="B1" s="8" t="s">
        <v>144</v>
      </c>
      <c r="C1" s="8" t="s">
        <v>145</v>
      </c>
      <c r="D1" s="8" t="s">
        <v>146</v>
      </c>
      <c r="E1" s="8" t="s">
        <v>147</v>
      </c>
      <c r="F1" s="8" t="s">
        <v>148</v>
      </c>
      <c r="G1" s="8" t="s">
        <v>149</v>
      </c>
    </row>
    <row r="2" spans="1:7" x14ac:dyDescent="0.2">
      <c r="A2" s="1" t="s">
        <v>110</v>
      </c>
      <c r="B2" s="1" t="s">
        <v>127</v>
      </c>
      <c r="C2" s="1"/>
      <c r="D2" s="1"/>
      <c r="E2" s="3" t="s">
        <v>111</v>
      </c>
      <c r="F2" s="7" t="s">
        <v>0</v>
      </c>
    </row>
    <row r="3" spans="1:7" x14ac:dyDescent="0.2">
      <c r="A3" s="5" t="s">
        <v>125</v>
      </c>
      <c r="B3" s="1" t="s">
        <v>128</v>
      </c>
      <c r="C3" s="1"/>
      <c r="D3" s="1"/>
      <c r="E3" s="6" t="s">
        <v>79</v>
      </c>
      <c r="F3" s="1" t="s">
        <v>9</v>
      </c>
      <c r="G3" s="7" t="s">
        <v>79</v>
      </c>
    </row>
    <row r="4" spans="1:7" x14ac:dyDescent="0.2">
      <c r="A4" s="5" t="s">
        <v>124</v>
      </c>
      <c r="B4" s="1" t="s">
        <v>129</v>
      </c>
      <c r="C4" s="1"/>
      <c r="D4" s="1"/>
      <c r="E4" s="6" t="s">
        <v>80</v>
      </c>
      <c r="F4" s="1" t="s">
        <v>8</v>
      </c>
      <c r="G4" s="7" t="s">
        <v>80</v>
      </c>
    </row>
    <row r="5" spans="1:7" x14ac:dyDescent="0.2">
      <c r="A5" s="5" t="s">
        <v>123</v>
      </c>
      <c r="B5" s="1" t="s">
        <v>130</v>
      </c>
      <c r="C5" s="1" t="b">
        <v>1</v>
      </c>
      <c r="D5" s="1"/>
      <c r="E5" s="10" t="s">
        <v>0</v>
      </c>
      <c r="F5" s="7" t="s">
        <v>0</v>
      </c>
    </row>
    <row r="6" spans="1:7" x14ac:dyDescent="0.2">
      <c r="A6" s="1" t="s">
        <v>122</v>
      </c>
      <c r="B6" s="1" t="s">
        <v>131</v>
      </c>
      <c r="C6" s="1" t="b">
        <v>1</v>
      </c>
      <c r="D6" s="1"/>
      <c r="E6" s="10" t="s">
        <v>0</v>
      </c>
      <c r="F6" s="7" t="s">
        <v>0</v>
      </c>
    </row>
    <row r="7" spans="1:7" x14ac:dyDescent="0.2">
      <c r="A7" s="1" t="s">
        <v>121</v>
      </c>
      <c r="B7" s="1" t="s">
        <v>132</v>
      </c>
      <c r="C7" s="1"/>
      <c r="D7" s="1"/>
      <c r="E7" s="6" t="s">
        <v>81</v>
      </c>
      <c r="F7" s="1" t="s">
        <v>11</v>
      </c>
      <c r="G7" s="7" t="s">
        <v>81</v>
      </c>
    </row>
    <row r="8" spans="1:7" x14ac:dyDescent="0.2">
      <c r="A8" s="1" t="s">
        <v>120</v>
      </c>
      <c r="B8" s="1" t="s">
        <v>133</v>
      </c>
      <c r="C8" s="1"/>
      <c r="D8" s="1"/>
      <c r="E8" s="6" t="s">
        <v>82</v>
      </c>
      <c r="F8" s="1" t="s">
        <v>10</v>
      </c>
      <c r="G8" s="7" t="s">
        <v>82</v>
      </c>
    </row>
    <row r="9" spans="1:7" x14ac:dyDescent="0.2">
      <c r="A9" s="1" t="s">
        <v>118</v>
      </c>
      <c r="B9" s="1" t="s">
        <v>134</v>
      </c>
      <c r="C9" s="9" t="b">
        <v>1</v>
      </c>
      <c r="D9" s="1"/>
      <c r="E9" s="6" t="s">
        <v>119</v>
      </c>
      <c r="F9" s="1" t="s">
        <v>134</v>
      </c>
    </row>
    <row r="10" spans="1:7" x14ac:dyDescent="0.25">
      <c r="A10" s="1" t="s">
        <v>117</v>
      </c>
      <c r="B10" s="1" t="s">
        <v>135</v>
      </c>
      <c r="C10" s="1" t="b">
        <v>1</v>
      </c>
      <c r="D10" s="4"/>
      <c r="E10" s="10" t="s">
        <v>0</v>
      </c>
      <c r="F10" s="7" t="s">
        <v>0</v>
      </c>
    </row>
    <row r="11" spans="1:7" x14ac:dyDescent="0.2">
      <c r="A11" s="1" t="s">
        <v>116</v>
      </c>
      <c r="B11" s="1" t="s">
        <v>136</v>
      </c>
      <c r="C11" s="1"/>
      <c r="D11" s="1"/>
      <c r="E11" s="6" t="s">
        <v>83</v>
      </c>
      <c r="F11" s="1" t="s">
        <v>13</v>
      </c>
      <c r="G11" s="7" t="s">
        <v>83</v>
      </c>
    </row>
    <row r="12" spans="1:7" x14ac:dyDescent="0.2">
      <c r="A12" s="1" t="s">
        <v>115</v>
      </c>
      <c r="B12" s="1" t="s">
        <v>137</v>
      </c>
      <c r="C12" s="1"/>
      <c r="D12" s="1"/>
      <c r="E12" s="6" t="s">
        <v>84</v>
      </c>
      <c r="F12" s="1" t="s">
        <v>12</v>
      </c>
      <c r="G12" s="7" t="s">
        <v>84</v>
      </c>
    </row>
    <row r="13" spans="1:7" x14ac:dyDescent="0.2">
      <c r="A13" s="1" t="s">
        <v>113</v>
      </c>
      <c r="B13" s="1" t="s">
        <v>138</v>
      </c>
      <c r="C13" s="1" t="b">
        <v>1</v>
      </c>
      <c r="D13" s="9" t="b">
        <v>1</v>
      </c>
      <c r="E13" s="6" t="s">
        <v>114</v>
      </c>
      <c r="F13" s="1" t="s">
        <v>138</v>
      </c>
    </row>
    <row r="14" spans="1:7" x14ac:dyDescent="0.25">
      <c r="A14" s="1" t="s">
        <v>112</v>
      </c>
      <c r="B14" s="1" t="s">
        <v>139</v>
      </c>
      <c r="C14" s="1" t="b">
        <v>1</v>
      </c>
      <c r="D14" s="9" t="b">
        <v>1</v>
      </c>
      <c r="E14" s="10" t="s">
        <v>0</v>
      </c>
      <c r="F14" s="1" t="s">
        <v>139</v>
      </c>
    </row>
    <row r="15" spans="1:7" x14ac:dyDescent="0.2">
      <c r="A15" s="4" t="s">
        <v>108</v>
      </c>
      <c r="C15" s="1"/>
      <c r="D15" s="1"/>
      <c r="E15" s="6" t="s">
        <v>109</v>
      </c>
      <c r="F15" s="1" t="s">
        <v>150</v>
      </c>
    </row>
    <row r="16" spans="1:7" x14ac:dyDescent="0.2">
      <c r="A16" s="1" t="s">
        <v>106</v>
      </c>
      <c r="C16" s="1"/>
      <c r="D16" s="1"/>
      <c r="E16" s="6" t="s">
        <v>107</v>
      </c>
      <c r="F16" s="1" t="s">
        <v>151</v>
      </c>
    </row>
    <row r="17" spans="1:6" x14ac:dyDescent="0.2">
      <c r="A17" s="1" t="s">
        <v>105</v>
      </c>
      <c r="B17" s="1"/>
      <c r="C17" s="1"/>
      <c r="D17" s="1"/>
      <c r="E17" s="10" t="s">
        <v>0</v>
      </c>
      <c r="F17" s="10" t="s">
        <v>0</v>
      </c>
    </row>
    <row r="18" spans="1:6" x14ac:dyDescent="0.2">
      <c r="A18" s="7"/>
      <c r="B18" s="1" t="s">
        <v>140</v>
      </c>
      <c r="C18" s="1"/>
      <c r="D18" s="1" t="b">
        <v>1</v>
      </c>
      <c r="E18" s="10" t="s">
        <v>317</v>
      </c>
    </row>
    <row r="19" spans="1:6" x14ac:dyDescent="0.25">
      <c r="A19" s="7"/>
      <c r="B19" s="1" t="s">
        <v>141</v>
      </c>
      <c r="C19" s="1"/>
      <c r="D19" s="9" t="b">
        <v>1</v>
      </c>
      <c r="E19" s="6" t="s">
        <v>314</v>
      </c>
      <c r="F19" s="1" t="s">
        <v>141</v>
      </c>
    </row>
    <row r="20" spans="1:6" x14ac:dyDescent="0.2">
      <c r="A20" s="7"/>
      <c r="B20" s="1" t="s">
        <v>142</v>
      </c>
      <c r="C20" s="1"/>
      <c r="D20" s="1"/>
      <c r="E20" s="10" t="s">
        <v>0</v>
      </c>
    </row>
    <row r="21" spans="1:6" x14ac:dyDescent="0.2">
      <c r="A21" s="7"/>
      <c r="B21" s="1" t="s">
        <v>143</v>
      </c>
      <c r="C21" s="1"/>
      <c r="D21" s="1"/>
      <c r="E21" s="10" t="s">
        <v>0</v>
      </c>
    </row>
  </sheetData>
  <customSheetViews>
    <customSheetView guid="{EAB3996E-FAEF-43F6-8577-BE0258DFEECA}">
      <selection activeCell="F19" sqref="F19"/>
      <pageMargins left="0.7" right="0.7" top="0.75" bottom="0.75" header="0.3" footer="0.3"/>
    </customSheetView>
    <customSheetView guid="{AB8E8BA2-0521-46C5-947F-61508E76D025}">
      <selection activeCell="F19" sqref="F1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zoomScale="70" zoomScaleNormal="70" workbookViewId="0">
      <pane ySplit="1" topLeftCell="A2" activePane="bottomLeft" state="frozen"/>
      <selection activeCell="C1" sqref="C1"/>
      <selection pane="bottomLeft" activeCell="G13" sqref="G13"/>
    </sheetView>
  </sheetViews>
  <sheetFormatPr defaultColWidth="9.109375" defaultRowHeight="15" x14ac:dyDescent="0.25"/>
  <cols>
    <col min="1" max="1" width="13.6640625" style="13" bestFit="1" customWidth="1"/>
    <col min="2" max="2" width="15.44140625" style="15" bestFit="1" customWidth="1"/>
    <col min="3" max="3" width="26.5546875" style="13" bestFit="1" customWidth="1"/>
    <col min="4" max="4" width="28.44140625" style="13" customWidth="1"/>
    <col min="5" max="5" width="17.33203125" style="13" bestFit="1" customWidth="1"/>
    <col min="6" max="6" width="48.109375" style="13" bestFit="1" customWidth="1"/>
    <col min="7" max="7" width="51.33203125" style="13" bestFit="1" customWidth="1"/>
    <col min="8" max="8" width="17.5546875" style="13" bestFit="1" customWidth="1"/>
    <col min="9" max="9" width="28.5546875" style="13" bestFit="1" customWidth="1"/>
    <col min="10" max="10" width="33.6640625" style="13" bestFit="1" customWidth="1"/>
    <col min="11" max="11" width="18.44140625" style="13" bestFit="1" customWidth="1"/>
    <col min="12" max="12" width="9.109375" style="13"/>
    <col min="13" max="13" width="59.109375" style="13" bestFit="1" customWidth="1"/>
    <col min="14" max="16384" width="9.109375" style="13"/>
  </cols>
  <sheetData>
    <row r="1" spans="1:9" s="12" customFormat="1" ht="31.2" x14ac:dyDescent="0.3">
      <c r="A1" s="12" t="s">
        <v>220</v>
      </c>
      <c r="B1" s="12" t="s">
        <v>221</v>
      </c>
      <c r="C1" s="12" t="s">
        <v>152</v>
      </c>
      <c r="D1" s="12" t="s">
        <v>175</v>
      </c>
      <c r="E1" s="12" t="s">
        <v>174</v>
      </c>
      <c r="F1" s="12" t="s">
        <v>162</v>
      </c>
      <c r="G1" s="12" t="s">
        <v>161</v>
      </c>
      <c r="H1" s="12" t="s">
        <v>163</v>
      </c>
      <c r="I1" s="12" t="s">
        <v>164</v>
      </c>
    </row>
    <row r="2" spans="1:9" s="31" customFormat="1" x14ac:dyDescent="0.25">
      <c r="A2" s="29">
        <v>0</v>
      </c>
      <c r="B2" s="29">
        <v>0</v>
      </c>
      <c r="C2" s="29" t="s">
        <v>104</v>
      </c>
      <c r="D2" s="33" t="s">
        <v>0</v>
      </c>
      <c r="E2" s="33" t="s">
        <v>0</v>
      </c>
      <c r="F2" s="33" t="s">
        <v>0</v>
      </c>
      <c r="G2" s="33" t="s">
        <v>0</v>
      </c>
      <c r="H2" s="33" t="s">
        <v>0</v>
      </c>
      <c r="I2" s="33" t="s">
        <v>0</v>
      </c>
    </row>
    <row r="3" spans="1:9" s="31" customFormat="1" ht="28.8" x14ac:dyDescent="0.25">
      <c r="A3" s="29">
        <v>0</v>
      </c>
      <c r="B3" s="29">
        <v>1</v>
      </c>
      <c r="C3" s="29" t="s">
        <v>154</v>
      </c>
      <c r="D3" s="30" t="s">
        <v>197</v>
      </c>
      <c r="E3" s="30" t="s">
        <v>170</v>
      </c>
      <c r="F3" s="30" t="s">
        <v>209</v>
      </c>
      <c r="G3" s="30" t="s">
        <v>214</v>
      </c>
      <c r="H3" s="29" t="s">
        <v>165</v>
      </c>
      <c r="I3" s="29">
        <v>3</v>
      </c>
    </row>
    <row r="4" spans="1:9" s="31" customFormat="1" x14ac:dyDescent="0.25">
      <c r="A4" s="29">
        <v>0</v>
      </c>
      <c r="B4" s="29">
        <v>2</v>
      </c>
      <c r="C4" s="29" t="s">
        <v>104</v>
      </c>
      <c r="D4" s="33" t="s">
        <v>0</v>
      </c>
      <c r="E4" s="33" t="s">
        <v>0</v>
      </c>
      <c r="F4" s="33" t="s">
        <v>0</v>
      </c>
      <c r="G4" s="33" t="s">
        <v>0</v>
      </c>
      <c r="H4" s="33" t="s">
        <v>0</v>
      </c>
      <c r="I4" s="33" t="s">
        <v>0</v>
      </c>
    </row>
    <row r="5" spans="1:9" s="31" customFormat="1" ht="57.6" x14ac:dyDescent="0.25">
      <c r="A5" s="29">
        <v>0</v>
      </c>
      <c r="B5" s="29">
        <v>3</v>
      </c>
      <c r="C5" s="29" t="s">
        <v>155</v>
      </c>
      <c r="D5" s="30" t="s">
        <v>176</v>
      </c>
      <c r="E5" s="30" t="s">
        <v>138</v>
      </c>
      <c r="F5" s="30" t="s">
        <v>168</v>
      </c>
      <c r="G5" s="30" t="s">
        <v>210</v>
      </c>
      <c r="H5" s="29">
        <v>32</v>
      </c>
      <c r="I5" s="29">
        <v>3</v>
      </c>
    </row>
    <row r="6" spans="1:9" s="31" customFormat="1" ht="57.6" x14ac:dyDescent="0.25">
      <c r="A6" s="29">
        <v>0</v>
      </c>
      <c r="B6" s="29">
        <v>4</v>
      </c>
      <c r="C6" s="29" t="s">
        <v>156</v>
      </c>
      <c r="D6" s="32" t="s">
        <v>0</v>
      </c>
      <c r="E6" s="30" t="s">
        <v>245</v>
      </c>
      <c r="F6" s="30" t="s">
        <v>169</v>
      </c>
      <c r="G6" s="30" t="s">
        <v>211</v>
      </c>
      <c r="H6" s="29">
        <v>32</v>
      </c>
      <c r="I6" s="29">
        <v>3</v>
      </c>
    </row>
    <row r="7" spans="1:9" s="31" customFormat="1" x14ac:dyDescent="0.25">
      <c r="A7" s="29">
        <v>0</v>
      </c>
      <c r="B7" s="29">
        <v>5</v>
      </c>
      <c r="C7" s="29" t="s">
        <v>104</v>
      </c>
      <c r="D7" s="33" t="s">
        <v>0</v>
      </c>
      <c r="E7" s="33" t="s">
        <v>0</v>
      </c>
      <c r="F7" s="33" t="s">
        <v>0</v>
      </c>
      <c r="G7" s="33" t="s">
        <v>0</v>
      </c>
      <c r="H7" s="33" t="s">
        <v>0</v>
      </c>
      <c r="I7" s="33" t="s">
        <v>0</v>
      </c>
    </row>
    <row r="8" spans="1:9" s="31" customFormat="1" x14ac:dyDescent="0.25">
      <c r="A8" s="29">
        <v>0</v>
      </c>
      <c r="B8" s="29">
        <v>6</v>
      </c>
      <c r="C8" s="29" t="s">
        <v>104</v>
      </c>
      <c r="D8" s="33" t="s">
        <v>0</v>
      </c>
      <c r="E8" s="33" t="s">
        <v>0</v>
      </c>
      <c r="F8" s="33" t="s">
        <v>0</v>
      </c>
      <c r="G8" s="33" t="s">
        <v>0</v>
      </c>
      <c r="H8" s="33" t="s">
        <v>0</v>
      </c>
      <c r="I8" s="33" t="s">
        <v>0</v>
      </c>
    </row>
    <row r="9" spans="1:9" s="31" customFormat="1" x14ac:dyDescent="0.25">
      <c r="A9" s="29">
        <v>0</v>
      </c>
      <c r="B9" s="29">
        <v>7</v>
      </c>
      <c r="C9" s="29" t="s">
        <v>104</v>
      </c>
      <c r="D9" s="33" t="s">
        <v>0</v>
      </c>
      <c r="E9" s="33" t="s">
        <v>0</v>
      </c>
      <c r="F9" s="33" t="s">
        <v>0</v>
      </c>
      <c r="G9" s="33" t="s">
        <v>0</v>
      </c>
      <c r="H9" s="33" t="s">
        <v>0</v>
      </c>
      <c r="I9" s="33" t="s">
        <v>0</v>
      </c>
    </row>
    <row r="10" spans="1:9" s="31" customFormat="1" x14ac:dyDescent="0.25">
      <c r="A10" s="29">
        <v>1</v>
      </c>
      <c r="B10" s="29">
        <v>0</v>
      </c>
      <c r="C10" s="29" t="s">
        <v>104</v>
      </c>
      <c r="D10" s="33" t="s">
        <v>0</v>
      </c>
      <c r="E10" s="33" t="s">
        <v>0</v>
      </c>
      <c r="F10" s="33" t="s">
        <v>0</v>
      </c>
      <c r="G10" s="33" t="s">
        <v>0</v>
      </c>
      <c r="H10" s="33" t="s">
        <v>0</v>
      </c>
      <c r="I10" s="33" t="s">
        <v>0</v>
      </c>
    </row>
    <row r="11" spans="1:9" s="31" customFormat="1" ht="28.8" x14ac:dyDescent="0.25">
      <c r="A11" s="29">
        <v>1</v>
      </c>
      <c r="B11" s="29">
        <v>1</v>
      </c>
      <c r="C11" s="29" t="s">
        <v>157</v>
      </c>
      <c r="D11" s="30" t="s">
        <v>177</v>
      </c>
      <c r="E11" s="30" t="s">
        <v>243</v>
      </c>
      <c r="F11" s="30" t="s">
        <v>224</v>
      </c>
      <c r="G11" s="30" t="s">
        <v>225</v>
      </c>
      <c r="H11" s="29" t="s">
        <v>165</v>
      </c>
      <c r="I11" s="29" t="s">
        <v>166</v>
      </c>
    </row>
    <row r="12" spans="1:9" s="31" customFormat="1" x14ac:dyDescent="0.25">
      <c r="A12" s="29">
        <v>1</v>
      </c>
      <c r="B12" s="29">
        <v>2</v>
      </c>
      <c r="C12" s="29" t="s">
        <v>104</v>
      </c>
      <c r="D12" s="33" t="s">
        <v>0</v>
      </c>
      <c r="E12" s="33" t="s">
        <v>0</v>
      </c>
      <c r="F12" s="33" t="s">
        <v>0</v>
      </c>
      <c r="G12" s="33" t="s">
        <v>0</v>
      </c>
      <c r="H12" s="33" t="s">
        <v>0</v>
      </c>
      <c r="I12" s="33" t="s">
        <v>0</v>
      </c>
    </row>
    <row r="13" spans="1:9" s="31" customFormat="1" x14ac:dyDescent="0.25">
      <c r="A13" s="29">
        <v>1</v>
      </c>
      <c r="B13" s="29">
        <v>3</v>
      </c>
      <c r="C13" s="29" t="s">
        <v>104</v>
      </c>
      <c r="D13" s="33" t="s">
        <v>0</v>
      </c>
      <c r="E13" s="33" t="s">
        <v>0</v>
      </c>
      <c r="F13" s="33" t="s">
        <v>0</v>
      </c>
      <c r="G13" s="33" t="s">
        <v>0</v>
      </c>
      <c r="H13" s="33" t="s">
        <v>0</v>
      </c>
      <c r="I13" s="33" t="s">
        <v>0</v>
      </c>
    </row>
    <row r="14" spans="1:9" s="31" customFormat="1" x14ac:dyDescent="0.25">
      <c r="A14" s="29">
        <v>1</v>
      </c>
      <c r="B14" s="29">
        <v>4</v>
      </c>
      <c r="C14" s="29" t="s">
        <v>104</v>
      </c>
      <c r="D14" s="33" t="s">
        <v>0</v>
      </c>
      <c r="E14" s="33" t="s">
        <v>0</v>
      </c>
      <c r="F14" s="33" t="s">
        <v>0</v>
      </c>
      <c r="G14" s="33" t="s">
        <v>0</v>
      </c>
      <c r="H14" s="33" t="s">
        <v>0</v>
      </c>
      <c r="I14" s="33" t="s">
        <v>0</v>
      </c>
    </row>
    <row r="15" spans="1:9" s="31" customFormat="1" x14ac:dyDescent="0.25">
      <c r="A15" s="29">
        <v>1</v>
      </c>
      <c r="B15" s="29">
        <v>5</v>
      </c>
      <c r="C15" s="29" t="s">
        <v>104</v>
      </c>
      <c r="D15" s="33" t="s">
        <v>0</v>
      </c>
      <c r="E15" s="33" t="s">
        <v>0</v>
      </c>
      <c r="F15" s="33" t="s">
        <v>0</v>
      </c>
      <c r="G15" s="33" t="s">
        <v>0</v>
      </c>
      <c r="H15" s="33" t="s">
        <v>0</v>
      </c>
      <c r="I15" s="33" t="s">
        <v>0</v>
      </c>
    </row>
    <row r="16" spans="1:9" s="31" customFormat="1" ht="28.8" x14ac:dyDescent="0.25">
      <c r="A16" s="29">
        <v>1</v>
      </c>
      <c r="B16" s="29">
        <v>6</v>
      </c>
      <c r="C16" s="29" t="s">
        <v>159</v>
      </c>
      <c r="D16" s="30" t="s">
        <v>198</v>
      </c>
      <c r="E16" s="30" t="s">
        <v>172</v>
      </c>
      <c r="F16" s="30" t="s">
        <v>212</v>
      </c>
      <c r="G16" s="30" t="s">
        <v>213</v>
      </c>
      <c r="H16" s="29" t="s">
        <v>165</v>
      </c>
      <c r="I16" s="29">
        <v>3</v>
      </c>
    </row>
    <row r="17" spans="1:9" s="31" customFormat="1" ht="28.8" x14ac:dyDescent="0.25">
      <c r="A17" s="29">
        <v>1</v>
      </c>
      <c r="B17" s="29">
        <v>7</v>
      </c>
      <c r="C17" s="29" t="s">
        <v>160</v>
      </c>
      <c r="D17" s="32" t="s">
        <v>0</v>
      </c>
      <c r="E17" s="30" t="s">
        <v>246</v>
      </c>
      <c r="F17" s="30" t="s">
        <v>227</v>
      </c>
      <c r="G17" s="30" t="s">
        <v>226</v>
      </c>
      <c r="H17" s="29" t="s">
        <v>165</v>
      </c>
      <c r="I17" s="29" t="s">
        <v>167</v>
      </c>
    </row>
    <row r="18" spans="1:9" x14ac:dyDescent="0.2">
      <c r="C18" s="5"/>
      <c r="D18" s="5"/>
      <c r="E18" s="5"/>
      <c r="F18" s="5"/>
      <c r="G18" s="5"/>
      <c r="H18" s="5"/>
      <c r="I18" s="5"/>
    </row>
    <row r="19" spans="1:9" x14ac:dyDescent="0.2">
      <c r="A19" s="13" t="s">
        <v>247</v>
      </c>
      <c r="C19" s="5"/>
      <c r="D19" s="5"/>
      <c r="E19" s="5"/>
      <c r="F19" s="5"/>
      <c r="G19" s="5"/>
      <c r="H19" s="5"/>
      <c r="I19" s="5"/>
    </row>
    <row r="20" spans="1:9" ht="30" x14ac:dyDescent="0.2">
      <c r="A20" s="5">
        <v>0</v>
      </c>
      <c r="B20" s="5">
        <v>0</v>
      </c>
      <c r="C20" s="5" t="s">
        <v>153</v>
      </c>
      <c r="D20" s="14" t="s">
        <v>215</v>
      </c>
      <c r="E20" s="11" t="s">
        <v>244</v>
      </c>
      <c r="F20" s="11" t="s">
        <v>217</v>
      </c>
      <c r="G20" s="11" t="s">
        <v>216</v>
      </c>
      <c r="H20" s="5" t="s">
        <v>218</v>
      </c>
      <c r="I20" s="5" t="s">
        <v>219</v>
      </c>
    </row>
    <row r="21" spans="1:9" ht="30" x14ac:dyDescent="0.25">
      <c r="A21" s="5">
        <v>0</v>
      </c>
      <c r="B21" s="5">
        <v>1</v>
      </c>
      <c r="C21" s="5" t="s">
        <v>154</v>
      </c>
      <c r="D21" s="14" t="s">
        <v>197</v>
      </c>
      <c r="E21" s="11" t="s">
        <v>170</v>
      </c>
      <c r="F21" s="11" t="s">
        <v>209</v>
      </c>
      <c r="G21" s="11" t="s">
        <v>214</v>
      </c>
      <c r="H21" s="5" t="s">
        <v>165</v>
      </c>
      <c r="I21" s="5">
        <v>3</v>
      </c>
    </row>
    <row r="22" spans="1:9" ht="30" x14ac:dyDescent="0.25">
      <c r="A22" s="5">
        <v>0</v>
      </c>
      <c r="B22" s="5">
        <v>2</v>
      </c>
      <c r="C22" s="5" t="s">
        <v>229</v>
      </c>
      <c r="D22" s="14" t="s">
        <v>230</v>
      </c>
      <c r="E22" s="11" t="s">
        <v>231</v>
      </c>
      <c r="F22" s="11" t="s">
        <v>232</v>
      </c>
      <c r="G22" s="11" t="s">
        <v>233</v>
      </c>
      <c r="H22" s="5" t="s">
        <v>234</v>
      </c>
      <c r="I22" s="5" t="s">
        <v>235</v>
      </c>
    </row>
    <row r="23" spans="1:9" ht="60" x14ac:dyDescent="0.25">
      <c r="A23" s="5">
        <v>0</v>
      </c>
      <c r="B23" s="5">
        <v>3</v>
      </c>
      <c r="C23" s="5" t="s">
        <v>155</v>
      </c>
      <c r="D23" s="14" t="s">
        <v>176</v>
      </c>
      <c r="E23" s="11" t="s">
        <v>138</v>
      </c>
      <c r="F23" s="11" t="s">
        <v>168</v>
      </c>
      <c r="G23" s="11" t="s">
        <v>210</v>
      </c>
      <c r="H23" s="5">
        <v>32</v>
      </c>
      <c r="I23" s="5">
        <v>3</v>
      </c>
    </row>
    <row r="24" spans="1:9" ht="60" x14ac:dyDescent="0.25">
      <c r="A24" s="5">
        <v>0</v>
      </c>
      <c r="B24" s="5">
        <v>4</v>
      </c>
      <c r="C24" s="5" t="s">
        <v>156</v>
      </c>
      <c r="D24" s="14" t="s">
        <v>0</v>
      </c>
      <c r="E24" s="11" t="s">
        <v>171</v>
      </c>
      <c r="F24" s="11" t="s">
        <v>169</v>
      </c>
      <c r="G24" s="11" t="s">
        <v>211</v>
      </c>
      <c r="H24" s="5">
        <v>32</v>
      </c>
      <c r="I24" s="5">
        <v>3</v>
      </c>
    </row>
    <row r="25" spans="1:9" x14ac:dyDescent="0.25">
      <c r="A25" s="5">
        <v>0</v>
      </c>
      <c r="B25" s="5">
        <v>5</v>
      </c>
      <c r="C25" s="5" t="s">
        <v>104</v>
      </c>
      <c r="D25" s="14" t="s">
        <v>0</v>
      </c>
      <c r="E25" s="11" t="s">
        <v>0</v>
      </c>
      <c r="F25" s="11" t="s">
        <v>0</v>
      </c>
      <c r="G25" s="11" t="s">
        <v>0</v>
      </c>
      <c r="H25" s="5" t="s">
        <v>0</v>
      </c>
      <c r="I25" s="5" t="s">
        <v>0</v>
      </c>
    </row>
    <row r="26" spans="1:9" x14ac:dyDescent="0.25">
      <c r="A26" s="5">
        <v>0</v>
      </c>
      <c r="B26" s="5">
        <v>6</v>
      </c>
      <c r="C26" s="5" t="s">
        <v>104</v>
      </c>
      <c r="D26" s="14" t="s">
        <v>0</v>
      </c>
      <c r="E26" s="11" t="s">
        <v>0</v>
      </c>
      <c r="F26" s="11" t="s">
        <v>0</v>
      </c>
      <c r="G26" s="11" t="s">
        <v>0</v>
      </c>
      <c r="H26" s="5" t="s">
        <v>0</v>
      </c>
      <c r="I26" s="5" t="s">
        <v>0</v>
      </c>
    </row>
    <row r="27" spans="1:9" x14ac:dyDescent="0.25">
      <c r="A27" s="5">
        <v>0</v>
      </c>
      <c r="B27" s="5">
        <v>7</v>
      </c>
      <c r="C27" s="5" t="s">
        <v>104</v>
      </c>
      <c r="D27" s="14" t="s">
        <v>0</v>
      </c>
      <c r="E27" s="11" t="s">
        <v>0</v>
      </c>
      <c r="F27" s="11" t="s">
        <v>0</v>
      </c>
      <c r="G27" s="11" t="s">
        <v>0</v>
      </c>
      <c r="H27" s="5" t="s">
        <v>0</v>
      </c>
      <c r="I27" s="5" t="s">
        <v>0</v>
      </c>
    </row>
    <row r="28" spans="1:9" x14ac:dyDescent="0.25">
      <c r="A28" s="5">
        <v>1</v>
      </c>
      <c r="B28" s="5">
        <v>0</v>
      </c>
      <c r="C28" s="5" t="s">
        <v>104</v>
      </c>
      <c r="D28" s="14" t="s">
        <v>0</v>
      </c>
      <c r="E28" s="11" t="s">
        <v>0</v>
      </c>
      <c r="F28" s="11" t="s">
        <v>0</v>
      </c>
      <c r="G28" s="11" t="s">
        <v>0</v>
      </c>
      <c r="H28" s="5" t="s">
        <v>0</v>
      </c>
      <c r="I28" s="5" t="s">
        <v>0</v>
      </c>
    </row>
    <row r="29" spans="1:9" ht="30" x14ac:dyDescent="0.25">
      <c r="A29" s="5">
        <v>1</v>
      </c>
      <c r="B29" s="5">
        <v>1</v>
      </c>
      <c r="C29" s="5" t="s">
        <v>157</v>
      </c>
      <c r="D29" s="14" t="s">
        <v>177</v>
      </c>
      <c r="E29" s="11" t="s">
        <v>243</v>
      </c>
      <c r="F29" s="11" t="s">
        <v>224</v>
      </c>
      <c r="G29" s="11" t="s">
        <v>225</v>
      </c>
      <c r="H29" s="5" t="s">
        <v>165</v>
      </c>
      <c r="I29" s="5" t="s">
        <v>166</v>
      </c>
    </row>
    <row r="30" spans="1:9" ht="30" x14ac:dyDescent="0.25">
      <c r="A30" s="5">
        <v>1</v>
      </c>
      <c r="B30" s="5">
        <v>2</v>
      </c>
      <c r="C30" s="5" t="s">
        <v>236</v>
      </c>
      <c r="D30" s="14" t="s">
        <v>237</v>
      </c>
      <c r="E30" s="11" t="s">
        <v>243</v>
      </c>
      <c r="F30" s="11" t="s">
        <v>241</v>
      </c>
      <c r="G30" s="11" t="s">
        <v>238</v>
      </c>
      <c r="H30" s="5" t="s">
        <v>239</v>
      </c>
      <c r="I30" s="5" t="s">
        <v>240</v>
      </c>
    </row>
    <row r="31" spans="1:9" x14ac:dyDescent="0.25">
      <c r="A31" s="5">
        <v>1</v>
      </c>
      <c r="B31" s="5">
        <v>3</v>
      </c>
      <c r="C31" s="5" t="s">
        <v>104</v>
      </c>
      <c r="D31" s="14" t="s">
        <v>0</v>
      </c>
      <c r="E31" s="11" t="s">
        <v>0</v>
      </c>
      <c r="F31" s="11" t="s">
        <v>0</v>
      </c>
      <c r="G31" s="11" t="s">
        <v>0</v>
      </c>
      <c r="H31" s="5" t="s">
        <v>0</v>
      </c>
      <c r="I31" s="5" t="s">
        <v>0</v>
      </c>
    </row>
    <row r="32" spans="1:9" ht="30" x14ac:dyDescent="0.25">
      <c r="A32" s="5">
        <v>1</v>
      </c>
      <c r="B32" s="5">
        <v>4</v>
      </c>
      <c r="C32" s="5" t="s">
        <v>158</v>
      </c>
      <c r="D32" s="14" t="s">
        <v>178</v>
      </c>
      <c r="E32" s="11" t="s">
        <v>139</v>
      </c>
      <c r="F32" s="11" t="s">
        <v>242</v>
      </c>
      <c r="G32" s="11" t="s">
        <v>228</v>
      </c>
      <c r="H32" s="5" t="s">
        <v>222</v>
      </c>
      <c r="I32" s="5" t="s">
        <v>223</v>
      </c>
    </row>
    <row r="33" spans="1:9" x14ac:dyDescent="0.25">
      <c r="A33" s="5">
        <v>1</v>
      </c>
      <c r="B33" s="5">
        <v>5</v>
      </c>
      <c r="C33" s="5" t="s">
        <v>104</v>
      </c>
      <c r="D33" s="14" t="s">
        <v>0</v>
      </c>
      <c r="E33" s="11" t="s">
        <v>0</v>
      </c>
      <c r="F33" s="11" t="s">
        <v>0</v>
      </c>
      <c r="G33" s="11" t="s">
        <v>0</v>
      </c>
      <c r="H33" s="5" t="s">
        <v>0</v>
      </c>
      <c r="I33" s="5" t="s">
        <v>0</v>
      </c>
    </row>
    <row r="34" spans="1:9" ht="30" x14ac:dyDescent="0.25">
      <c r="A34" s="5">
        <v>1</v>
      </c>
      <c r="B34" s="5">
        <v>6</v>
      </c>
      <c r="C34" s="5" t="s">
        <v>159</v>
      </c>
      <c r="D34" s="14" t="s">
        <v>198</v>
      </c>
      <c r="E34" s="11" t="s">
        <v>172</v>
      </c>
      <c r="F34" s="11" t="s">
        <v>212</v>
      </c>
      <c r="G34" s="11" t="s">
        <v>213</v>
      </c>
      <c r="H34" s="5" t="s">
        <v>165</v>
      </c>
      <c r="I34" s="5">
        <v>3</v>
      </c>
    </row>
    <row r="35" spans="1:9" ht="30" x14ac:dyDescent="0.25">
      <c r="A35" s="5">
        <v>1</v>
      </c>
      <c r="B35" s="5">
        <v>7</v>
      </c>
      <c r="C35" s="5" t="s">
        <v>160</v>
      </c>
      <c r="D35" s="14" t="s">
        <v>0</v>
      </c>
      <c r="E35" s="11" t="s">
        <v>173</v>
      </c>
      <c r="F35" s="11" t="s">
        <v>227</v>
      </c>
      <c r="G35" s="11" t="s">
        <v>226</v>
      </c>
      <c r="H35" s="5" t="s">
        <v>165</v>
      </c>
      <c r="I35" s="5" t="s">
        <v>167</v>
      </c>
    </row>
    <row r="36" spans="1:9" x14ac:dyDescent="0.25">
      <c r="A36" s="5"/>
      <c r="B36" s="5"/>
      <c r="C36" s="5"/>
      <c r="D36" s="14"/>
      <c r="E36" s="11"/>
      <c r="F36" s="11"/>
      <c r="G36" s="11"/>
      <c r="H36" s="5"/>
      <c r="I36" s="5"/>
    </row>
  </sheetData>
  <customSheetViews>
    <customSheetView guid="{EAB3996E-FAEF-43F6-8577-BE0258DFEECA}" scale="85" topLeftCell="C1">
      <pane ySplit="1" topLeftCell="A2" activePane="bottomLeft" state="frozen"/>
      <selection pane="bottomLeft" activeCell="D14" sqref="D14"/>
      <pageMargins left="0.7" right="0.7" top="0.75" bottom="0.75" header="0.3" footer="0.3"/>
    </customSheetView>
    <customSheetView guid="{AB8E8BA2-0521-46C5-947F-61508E76D025}" topLeftCell="F1">
      <pane ySplit="1" topLeftCell="A5" activePane="bottomLeft" state="frozen"/>
      <selection pane="bottomLeft" activeCell="G10" sqref="G10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C17" sqref="C17"/>
    </sheetView>
  </sheetViews>
  <sheetFormatPr defaultRowHeight="14.4" x14ac:dyDescent="0.3"/>
  <cols>
    <col min="1" max="1" width="18.88671875" bestFit="1" customWidth="1"/>
    <col min="2" max="2" width="10.33203125" bestFit="1" customWidth="1"/>
    <col min="3" max="3" width="74.33203125" bestFit="1" customWidth="1"/>
    <col min="4" max="4" width="20.5546875" bestFit="1" customWidth="1"/>
    <col min="5" max="5" width="15.33203125" customWidth="1"/>
    <col min="6" max="6" width="13.109375" bestFit="1" customWidth="1"/>
  </cols>
  <sheetData>
    <row r="1" spans="1:6" x14ac:dyDescent="0.3">
      <c r="A1" s="16" t="s">
        <v>292</v>
      </c>
      <c r="B1" s="16" t="s">
        <v>268</v>
      </c>
      <c r="C1" s="16" t="s">
        <v>278</v>
      </c>
      <c r="D1" s="16" t="s">
        <v>279</v>
      </c>
      <c r="E1" s="16" t="s">
        <v>270</v>
      </c>
      <c r="F1" s="16" t="s">
        <v>271</v>
      </c>
    </row>
    <row r="2" spans="1:6" x14ac:dyDescent="0.3">
      <c r="A2" s="16"/>
      <c r="B2" s="16"/>
      <c r="C2" s="16"/>
      <c r="D2" s="16"/>
      <c r="E2" s="16"/>
      <c r="F2" s="16"/>
    </row>
    <row r="3" spans="1:6" s="34" customFormat="1" ht="15" x14ac:dyDescent="0.25">
      <c r="A3" s="34" t="s">
        <v>289</v>
      </c>
      <c r="B3" s="34" t="s">
        <v>273</v>
      </c>
      <c r="C3" s="34" t="s">
        <v>260</v>
      </c>
      <c r="D3" s="34" t="s">
        <v>261</v>
      </c>
      <c r="E3" s="34" t="s">
        <v>282</v>
      </c>
      <c r="F3" s="34" t="s">
        <v>283</v>
      </c>
    </row>
    <row r="4" spans="1:6" s="34" customFormat="1" ht="15" x14ac:dyDescent="0.25">
      <c r="A4" s="34" t="s">
        <v>293</v>
      </c>
      <c r="B4" s="34" t="s">
        <v>284</v>
      </c>
      <c r="C4" s="34" t="s">
        <v>264</v>
      </c>
      <c r="D4" s="34" t="s">
        <v>294</v>
      </c>
      <c r="E4" s="34" t="s">
        <v>282</v>
      </c>
      <c r="F4" s="34" t="s">
        <v>283</v>
      </c>
    </row>
    <row r="5" spans="1:6" s="34" customFormat="1" ht="15" x14ac:dyDescent="0.25">
      <c r="A5" s="34" t="s">
        <v>290</v>
      </c>
      <c r="B5" s="34" t="s">
        <v>315</v>
      </c>
      <c r="C5" s="34" t="s">
        <v>265</v>
      </c>
      <c r="D5" s="34" t="s">
        <v>266</v>
      </c>
      <c r="E5" s="34" t="s">
        <v>285</v>
      </c>
      <c r="F5" s="34" t="s">
        <v>286</v>
      </c>
    </row>
    <row r="6" spans="1:6" s="34" customFormat="1" ht="15" x14ac:dyDescent="0.25">
      <c r="A6" s="34" t="s">
        <v>291</v>
      </c>
      <c r="B6" s="34" t="s">
        <v>316</v>
      </c>
      <c r="C6" s="34" t="s">
        <v>267</v>
      </c>
      <c r="D6" s="34" t="s">
        <v>295</v>
      </c>
      <c r="E6" s="34" t="s">
        <v>285</v>
      </c>
      <c r="F6" s="34" t="s">
        <v>286</v>
      </c>
    </row>
    <row r="7" spans="1:6" s="34" customFormat="1" ht="15" x14ac:dyDescent="0.25">
      <c r="A7" s="34" t="s">
        <v>287</v>
      </c>
      <c r="B7" s="34" t="s">
        <v>269</v>
      </c>
      <c r="C7" s="34" t="s">
        <v>252</v>
      </c>
      <c r="D7" s="34" t="s">
        <v>253</v>
      </c>
      <c r="E7" s="34" t="s">
        <v>274</v>
      </c>
      <c r="F7" s="34" t="s">
        <v>275</v>
      </c>
    </row>
    <row r="8" spans="1:6" s="34" customFormat="1" ht="15" x14ac:dyDescent="0.25">
      <c r="A8" s="34" t="s">
        <v>287</v>
      </c>
      <c r="B8" s="34" t="s">
        <v>269</v>
      </c>
      <c r="C8" s="34" t="s">
        <v>248</v>
      </c>
      <c r="D8" s="34" t="s">
        <v>249</v>
      </c>
      <c r="E8" s="34" t="s">
        <v>274</v>
      </c>
      <c r="F8" s="34" t="s">
        <v>275</v>
      </c>
    </row>
    <row r="9" spans="1:6" s="34" customFormat="1" ht="15" x14ac:dyDescent="0.25">
      <c r="A9" s="34" t="s">
        <v>287</v>
      </c>
      <c r="B9" s="34" t="s">
        <v>269</v>
      </c>
      <c r="C9" s="34" t="s">
        <v>254</v>
      </c>
      <c r="D9" s="34" t="s">
        <v>255</v>
      </c>
      <c r="E9" s="34" t="s">
        <v>274</v>
      </c>
      <c r="F9" s="34" t="s">
        <v>275</v>
      </c>
    </row>
    <row r="10" spans="1:6" s="34" customFormat="1" ht="15" x14ac:dyDescent="0.25">
      <c r="A10" s="34" t="s">
        <v>289</v>
      </c>
      <c r="B10" s="34" t="s">
        <v>273</v>
      </c>
      <c r="C10" s="34" t="s">
        <v>258</v>
      </c>
      <c r="D10" s="34" t="s">
        <v>259</v>
      </c>
      <c r="E10" s="34" t="s">
        <v>280</v>
      </c>
      <c r="F10" s="34" t="s">
        <v>281</v>
      </c>
    </row>
    <row r="11" spans="1:6" s="34" customFormat="1" ht="15" x14ac:dyDescent="0.25">
      <c r="A11" s="34" t="s">
        <v>293</v>
      </c>
      <c r="B11" s="34" t="s">
        <v>284</v>
      </c>
      <c r="C11" s="34" t="s">
        <v>262</v>
      </c>
      <c r="D11" s="34" t="s">
        <v>263</v>
      </c>
      <c r="E11" s="34" t="s">
        <v>280</v>
      </c>
      <c r="F11" s="34" t="s">
        <v>281</v>
      </c>
    </row>
    <row r="12" spans="1:6" s="34" customFormat="1" ht="15" x14ac:dyDescent="0.25">
      <c r="A12" s="35" t="s">
        <v>310</v>
      </c>
      <c r="B12" s="35" t="s">
        <v>309</v>
      </c>
      <c r="C12" s="35" t="s">
        <v>311</v>
      </c>
      <c r="D12" s="35" t="s">
        <v>312</v>
      </c>
      <c r="E12" s="35" t="s">
        <v>280</v>
      </c>
      <c r="F12" s="35" t="s">
        <v>313</v>
      </c>
    </row>
    <row r="13" spans="1:6" s="34" customFormat="1" ht="15" x14ac:dyDescent="0.25">
      <c r="A13" s="34" t="s">
        <v>287</v>
      </c>
      <c r="B13" s="34" t="s">
        <v>269</v>
      </c>
      <c r="C13" s="34" t="s">
        <v>250</v>
      </c>
      <c r="D13" s="34" t="s">
        <v>251</v>
      </c>
      <c r="E13" s="34" t="s">
        <v>276</v>
      </c>
      <c r="F13" s="34" t="s">
        <v>277</v>
      </c>
    </row>
    <row r="14" spans="1:6" s="34" customFormat="1" ht="15" x14ac:dyDescent="0.25">
      <c r="A14" s="34" t="s">
        <v>288</v>
      </c>
      <c r="B14" s="34" t="s">
        <v>272</v>
      </c>
      <c r="C14" s="34" t="s">
        <v>256</v>
      </c>
      <c r="D14" s="34" t="s">
        <v>257</v>
      </c>
      <c r="E14" s="34" t="s">
        <v>276</v>
      </c>
      <c r="F14" s="34" t="s">
        <v>277</v>
      </c>
    </row>
  </sheetData>
  <autoFilter ref="A2:F14">
    <sortState ref="A3:F29">
      <sortCondition ref="D2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HSI</vt:lpstr>
      <vt:lpstr>Adc0_MotCtrl</vt:lpstr>
      <vt:lpstr>Adc1_2mSec</vt:lpstr>
      <vt:lpstr>TSG31</vt:lpstr>
      <vt:lpstr>DMA</vt:lpstr>
      <vt:lpstr>NTCs</vt:lpstr>
    </vt:vector>
  </TitlesOfParts>
  <Company>Nexteer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Erlenbeck, Jason M</dc:creator>
  <cp:lastModifiedBy>Jason Erlenbeck</cp:lastModifiedBy>
  <dcterms:created xsi:type="dcterms:W3CDTF">2014-12-29T21:00:06Z</dcterms:created>
  <dcterms:modified xsi:type="dcterms:W3CDTF">2016-10-20T14:16:49Z</dcterms:modified>
</cp:coreProperties>
</file>