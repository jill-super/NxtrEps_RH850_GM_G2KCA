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codeName="ThisWorkbook" defaultThemeVersion="124226"/>
  <mc:AlternateContent xmlns:mc="http://schemas.openxmlformats.org/markup-compatibility/2006">
    <mc:Choice Requires="x15">
      <x15ac:absPath xmlns:x15ac="http://schemas.microsoft.com/office/spreadsheetml/2010/11/ac" url="C:\SynergyProjects\WorkProjects\CM475A_TSG31CfgAndUse_Design\Design\"/>
    </mc:Choice>
  </mc:AlternateContent>
  <bookViews>
    <workbookView xWindow="7680" yWindow="348" windowWidth="5880" windowHeight="5952"/>
  </bookViews>
  <sheets>
    <sheet name="FieldNames" sheetId="15" r:id="rId1"/>
    <sheet name="Registers" sheetId="13" r:id="rId2"/>
  </sheets>
  <functionGroups builtInGroupCount="18"/>
  <definedNames>
    <definedName name="_xlnm._FilterDatabase" localSheetId="0" hidden="1">FieldNames!$A$2:$F$193</definedName>
    <definedName name="_xlnm._FilterDatabase" localSheetId="1" hidden="1">Registers!$A$2:$E$2</definedName>
    <definedName name="ADC1EVGRPSIZE">#REF!</definedName>
    <definedName name="ADC1GP1GRPSIZE">#REF!</definedName>
    <definedName name="ADC1GP2GRPSIZE">#REF!</definedName>
    <definedName name="ADC2EVGRPSIZE">#REF!</definedName>
    <definedName name="ADC2GP1GRPSIZE">#REF!</definedName>
    <definedName name="ADC2GP2GRPSIZE">#REF!</definedName>
  </definedNames>
  <calcPr calcId="171027"/>
</workbook>
</file>

<file path=xl/calcChain.xml><?xml version="1.0" encoding="utf-8"?>
<calcChain xmlns="http://schemas.openxmlformats.org/spreadsheetml/2006/main">
  <c r="E129" i="15" l="1"/>
  <c r="D129" i="15" s="1"/>
  <c r="E128" i="15"/>
  <c r="D128" i="15" s="1"/>
  <c r="E127" i="15"/>
  <c r="D127" i="15" s="1"/>
  <c r="E114" i="15"/>
  <c r="D114" i="15" s="1"/>
  <c r="E113" i="15"/>
  <c r="D113" i="15" s="1"/>
  <c r="E126" i="15"/>
  <c r="D126" i="15" s="1"/>
  <c r="E125" i="15"/>
  <c r="D125" i="15" s="1"/>
  <c r="E120" i="15"/>
  <c r="D120" i="15" s="1"/>
  <c r="E119" i="15"/>
  <c r="D119" i="15" s="1"/>
  <c r="E124" i="15"/>
  <c r="D124" i="15" s="1"/>
  <c r="E123" i="15"/>
  <c r="D123" i="15" s="1"/>
  <c r="E118" i="15"/>
  <c r="D118" i="15" s="1"/>
  <c r="E117" i="15"/>
  <c r="D117" i="15" s="1"/>
  <c r="E122" i="15"/>
  <c r="D122" i="15" s="1"/>
  <c r="E121" i="15"/>
  <c r="D121" i="15" s="1"/>
  <c r="E116" i="15"/>
  <c r="D116" i="15" s="1"/>
  <c r="E115" i="15"/>
  <c r="D115" i="15" s="1"/>
  <c r="E112" i="15"/>
  <c r="D112" i="15" s="1"/>
  <c r="E93" i="15"/>
  <c r="D93" i="15" s="1"/>
  <c r="D92" i="15"/>
  <c r="E94" i="15" l="1"/>
  <c r="D94" i="15" s="1"/>
  <c r="E95" i="15" l="1"/>
  <c r="D95" i="15" s="1"/>
  <c r="E96" i="15" l="1"/>
  <c r="E97" i="15" s="1"/>
  <c r="D96" i="15" l="1"/>
  <c r="E98" i="15"/>
  <c r="D97" i="15"/>
  <c r="E99" i="15" l="1"/>
  <c r="D98" i="15"/>
  <c r="E100" i="15" l="1"/>
  <c r="D99" i="15"/>
  <c r="E101" i="15" l="1"/>
  <c r="D100" i="15"/>
  <c r="E102" i="15" l="1"/>
  <c r="D101" i="15"/>
  <c r="E103" i="15" l="1"/>
  <c r="D102" i="15"/>
  <c r="E104" i="15" l="1"/>
  <c r="D103" i="15"/>
  <c r="E105" i="15" l="1"/>
  <c r="D104" i="15"/>
  <c r="E106" i="15" l="1"/>
  <c r="D105" i="15"/>
  <c r="E107" i="15" l="1"/>
  <c r="D106" i="15"/>
  <c r="E108" i="15" l="1"/>
  <c r="D107" i="15"/>
  <c r="E109" i="15" l="1"/>
  <c r="D108" i="15"/>
  <c r="E110" i="15" l="1"/>
  <c r="D110" i="15" s="1"/>
  <c r="D109" i="15"/>
</calcChain>
</file>

<file path=xl/sharedStrings.xml><?xml version="1.0" encoding="utf-8"?>
<sst xmlns="http://schemas.openxmlformats.org/spreadsheetml/2006/main" count="2169" uniqueCount="681">
  <si>
    <t>Reserved</t>
  </si>
  <si>
    <t>Init</t>
  </si>
  <si>
    <t>Config</t>
  </si>
  <si>
    <t>Address</t>
  </si>
  <si>
    <t>Name</t>
  </si>
  <si>
    <t>Symbol</t>
  </si>
  <si>
    <t>Reload</t>
  </si>
  <si>
    <t>TSG3n control register 0</t>
  </si>
  <si>
    <t>TSG3nCTL0</t>
  </si>
  <si>
    <t>208H</t>
  </si>
  <si>
    <t>Disabled</t>
  </si>
  <si>
    <t>TSG3n control register 1</t>
  </si>
  <si>
    <t>TSG3nCTL1</t>
  </si>
  <si>
    <t>20CH</t>
  </si>
  <si>
    <t>TSG3n control register 2</t>
  </si>
  <si>
    <t>TSG3nCTL2</t>
  </si>
  <si>
    <t>780H</t>
  </si>
  <si>
    <t>TSG3n control register 3</t>
  </si>
  <si>
    <t>TSG3nCTL3</t>
  </si>
  <si>
    <t>004H</t>
  </si>
  <si>
    <t>TSG3n control register 4</t>
  </si>
  <si>
    <t>TSG3nCTL4</t>
  </si>
  <si>
    <t>07CH</t>
  </si>
  <si>
    <t>Enabled</t>
  </si>
  <si>
    <t>TSG3n control register 5</t>
  </si>
  <si>
    <t>TSG3nCTL5</t>
  </si>
  <si>
    <t>008H</t>
  </si>
  <si>
    <t>TSG3n control register 6</t>
  </si>
  <si>
    <t>TSG3nCTL6</t>
  </si>
  <si>
    <t>00CH</t>
  </si>
  <si>
    <t>TSG3n control register 7</t>
  </si>
  <si>
    <t>TSG3nCTL7</t>
  </si>
  <si>
    <t>218H</t>
  </si>
  <si>
    <t>TSG3n control register 8</t>
  </si>
  <si>
    <t>TSG3nCTL8</t>
  </si>
  <si>
    <t>21CH</t>
  </si>
  <si>
    <t>TSG3n I/O control register 0</t>
  </si>
  <si>
    <t>TSG3nIOC0</t>
  </si>
  <si>
    <t>200H</t>
  </si>
  <si>
    <t>TSG3n I/O control register 1</t>
  </si>
  <si>
    <t>TSG3nIOC1</t>
  </si>
  <si>
    <t>204H</t>
  </si>
  <si>
    <t>TSG3n I/O control register 2</t>
  </si>
  <si>
    <t>TSG3nIOC2</t>
  </si>
  <si>
    <t>000H</t>
  </si>
  <si>
    <t>TSG3n I/O control register 3</t>
  </si>
  <si>
    <t>TSG3nIOC3</t>
  </si>
  <si>
    <t>074H</t>
  </si>
  <si>
    <t>TSG3n status register 0</t>
  </si>
  <si>
    <t>TSG3nSTR0</t>
  </si>
  <si>
    <t>010H</t>
  </si>
  <si>
    <t>TSG3n status register 1</t>
  </si>
  <si>
    <t>TSG3nSTR1</t>
  </si>
  <si>
    <t>014H</t>
  </si>
  <si>
    <t>TSG3n status register 2</t>
  </si>
  <si>
    <t>TSG3nSTR2</t>
  </si>
  <si>
    <t>018H</t>
  </si>
  <si>
    <t>TSG3n status clear trigger register</t>
  </si>
  <si>
    <t>TSG3nSTC</t>
  </si>
  <si>
    <t>01CH</t>
  </si>
  <si>
    <t>TSG3n option register 0</t>
  </si>
  <si>
    <t>TSG3nOPT0</t>
  </si>
  <si>
    <t>020H</t>
  </si>
  <si>
    <t>TSG3n option register 1</t>
  </si>
  <si>
    <t>TSG3nOPT1</t>
  </si>
  <si>
    <t>024H</t>
  </si>
  <si>
    <t>TSG3n trigger register 0</t>
  </si>
  <si>
    <t>TSG3nTRG0</t>
  </si>
  <si>
    <t>030H</t>
  </si>
  <si>
    <t>TSG3n trigger register 1</t>
  </si>
  <si>
    <t>TSG3nTRG1</t>
  </si>
  <si>
    <t>034H</t>
  </si>
  <si>
    <t>TSG3n trigger register 2</t>
  </si>
  <si>
    <t>TSG3nTRG2</t>
  </si>
  <si>
    <t>038H</t>
  </si>
  <si>
    <t>TSG3n counter read buffer register</t>
  </si>
  <si>
    <t>TSG3nCNT</t>
  </si>
  <si>
    <t>028H</t>
  </si>
  <si>
    <t>TSG3n bit extended counter read buffer register</t>
  </si>
  <si>
    <t>TSG3nCNTE</t>
  </si>
  <si>
    <t>1A0H</t>
  </si>
  <si>
    <t>TSG3n sub-counter read buffer register</t>
  </si>
  <si>
    <t>TSG3nSBC</t>
  </si>
  <si>
    <t>02CH</t>
  </si>
  <si>
    <t>TSG3n bit extended sub-counter read buffer register</t>
  </si>
  <si>
    <t>TSG3nSBCE</t>
  </si>
  <si>
    <t>1A4H</t>
  </si>
  <si>
    <t>TSG3n compare register 0</t>
  </si>
  <si>
    <t>TSG3nCMP0</t>
  </si>
  <si>
    <t>058H</t>
  </si>
  <si>
    <t>TSG3n bit extended compare register 0</t>
  </si>
  <si>
    <t>TSG3nCMP0E</t>
  </si>
  <si>
    <t>14CH</t>
  </si>
  <si>
    <t>TSG3n compare register 1, 2</t>
  </si>
  <si>
    <t>TSG3nCMP1W</t>
  </si>
  <si>
    <t>040H</t>
  </si>
  <si>
    <t>TSG3n compare register 5, 6</t>
  </si>
  <si>
    <t>TSG3nCMP5W</t>
  </si>
  <si>
    <t>044H</t>
  </si>
  <si>
    <t>TSG3n compare register 9, 10</t>
  </si>
  <si>
    <t>TSG3nCMP9W</t>
  </si>
  <si>
    <t>048H</t>
  </si>
  <si>
    <t>TSG3n compare register 3, 4</t>
  </si>
  <si>
    <t>TSG3nCMP3W</t>
  </si>
  <si>
    <t>04CH</t>
  </si>
  <si>
    <t>TSG3n compare register 7, 8</t>
  </si>
  <si>
    <t>TSG3nCMP7W</t>
  </si>
  <si>
    <t>050H</t>
  </si>
  <si>
    <t>TSG3n compare register 11, 12</t>
  </si>
  <si>
    <t>TSG3nCMP11W</t>
  </si>
  <si>
    <t>054H</t>
  </si>
  <si>
    <t>TSG3n compare register 1</t>
  </si>
  <si>
    <t>TSG3nCMP1</t>
  </si>
  <si>
    <t>080H</t>
  </si>
  <si>
    <t>TSG3n compare register 2</t>
  </si>
  <si>
    <t>TSG3nCMP2</t>
  </si>
  <si>
    <t>084H</t>
  </si>
  <si>
    <t>TSG3n compare register 3</t>
  </si>
  <si>
    <t>TSG3nCMP3</t>
  </si>
  <si>
    <t>098H</t>
  </si>
  <si>
    <t>TSG3n compare register 4</t>
  </si>
  <si>
    <t>TSG3nCMP4</t>
  </si>
  <si>
    <t>09CH</t>
  </si>
  <si>
    <t>TSG3n compare register 5</t>
  </si>
  <si>
    <t>TSG3nCMP5</t>
  </si>
  <si>
    <t>088H</t>
  </si>
  <si>
    <t>TSG3n compare register 6</t>
  </si>
  <si>
    <t>TSG3nCMP6</t>
  </si>
  <si>
    <t>08CH</t>
  </si>
  <si>
    <t>TSG3n compare register 7</t>
  </si>
  <si>
    <t>TSG3nCMP7</t>
  </si>
  <si>
    <t>0A0H</t>
  </si>
  <si>
    <t>TSG3n compare register 8</t>
  </si>
  <si>
    <t>TSG3nCMP8</t>
  </si>
  <si>
    <t>0A4H</t>
  </si>
  <si>
    <t>TSG3n compare register 9</t>
  </si>
  <si>
    <t>TSG3nCMP9</t>
  </si>
  <si>
    <t>090H</t>
  </si>
  <si>
    <t>TSG3n compare register 10</t>
  </si>
  <si>
    <t>TSG3nCMP10</t>
  </si>
  <si>
    <t>094H</t>
  </si>
  <si>
    <t>TSG3n compare register 11</t>
  </si>
  <si>
    <t>TSG3nCMP11</t>
  </si>
  <si>
    <t>0A8H</t>
  </si>
  <si>
    <t>TSG3n compare register 12</t>
  </si>
  <si>
    <t>TSG3nCMP12</t>
  </si>
  <si>
    <t>0ACH</t>
  </si>
  <si>
    <t>TSG3n bit extended compare register 1</t>
  </si>
  <si>
    <t>TSG3nCMP1E</t>
  </si>
  <si>
    <t>17CH</t>
  </si>
  <si>
    <t>TSG3n bit extended compare register 2</t>
  </si>
  <si>
    <t>TSG3nCMP2E</t>
  </si>
  <si>
    <t>178H</t>
  </si>
  <si>
    <t>TSG3n bit extended compare register 3</t>
  </si>
  <si>
    <t>TSG3nCMP3E</t>
  </si>
  <si>
    <t>164H</t>
  </si>
  <si>
    <t>TSG3n bit extended compare register 4</t>
  </si>
  <si>
    <t>TSG3nCMP4E</t>
  </si>
  <si>
    <t>160H</t>
  </si>
  <si>
    <t>TSG3n bit extended compare register 5</t>
  </si>
  <si>
    <t>TSG3nCMP5E</t>
  </si>
  <si>
    <t>174H</t>
  </si>
  <si>
    <t>TSG3n bit extended compare register 6</t>
  </si>
  <si>
    <t>TSG3nCMP6E</t>
  </si>
  <si>
    <t>170H</t>
  </si>
  <si>
    <t>TSG3n bit extended compare register 7</t>
  </si>
  <si>
    <t>TSG3nCMP7E</t>
  </si>
  <si>
    <t>15CH</t>
  </si>
  <si>
    <t>TSG3n bit extended compare register 8</t>
  </si>
  <si>
    <t>TSG3nCMP8E</t>
  </si>
  <si>
    <t>158H</t>
  </si>
  <si>
    <t>TSG3n bit extended compare register 9</t>
  </si>
  <si>
    <t>TSG3nCMP9E</t>
  </si>
  <si>
    <t>16CH</t>
  </si>
  <si>
    <t>TSG3n bit extended compare register 10</t>
  </si>
  <si>
    <t>TSG3nCMP10E</t>
  </si>
  <si>
    <t>168H</t>
  </si>
  <si>
    <t>TSG3n bit extended compare register 11</t>
  </si>
  <si>
    <t>TSG3nCMP11E</t>
  </si>
  <si>
    <t>154H</t>
  </si>
  <si>
    <t>TSG3n bit extended compare register 12</t>
  </si>
  <si>
    <t>TSG3nCMP12E</t>
  </si>
  <si>
    <t>150H</t>
  </si>
  <si>
    <t>TSG3n diagnostic output compare register 0, 1</t>
  </si>
  <si>
    <t>TSG3nDCMP0W</t>
  </si>
  <si>
    <t>05CH</t>
  </si>
  <si>
    <t>TSG3n diagnostic output compare register 2</t>
  </si>
  <si>
    <t>TSG3nDCMP2</t>
  </si>
  <si>
    <t>060H</t>
  </si>
  <si>
    <t>TSG3n bit extended diagnostic output compare register 0</t>
  </si>
  <si>
    <t>TSG3nDCMP0E</t>
  </si>
  <si>
    <t>148H</t>
  </si>
  <si>
    <t>TSG3n bit extended diagnostic output compare register 1</t>
  </si>
  <si>
    <t>TSG3nDCMP1E</t>
  </si>
  <si>
    <t>144H</t>
  </si>
  <si>
    <t>TSG3n bit extended diagnostic output compare register 2</t>
  </si>
  <si>
    <t>TSG3nDCMP2E</t>
  </si>
  <si>
    <t>140H</t>
  </si>
  <si>
    <t>TSG3n pattern register 0</t>
  </si>
  <si>
    <t>TSG3nPAT0W</t>
  </si>
  <si>
    <t>064H</t>
  </si>
  <si>
    <t>TSG3n pattern register 1</t>
  </si>
  <si>
    <t>TSG3nPAT1W</t>
  </si>
  <si>
    <t>068H</t>
  </si>
  <si>
    <t>TSG3n dead time control register 0</t>
  </si>
  <si>
    <t>TSG3nDTC0W</t>
  </si>
  <si>
    <t>06CH</t>
  </si>
  <si>
    <t>TSG3n dead time control register 1</t>
  </si>
  <si>
    <t>TSG3nDTC1W</t>
  </si>
  <si>
    <t>070H</t>
  </si>
  <si>
    <t>TSG3n HT-PWM U phase compare register</t>
  </si>
  <si>
    <t>TSG3nCMPU</t>
  </si>
  <si>
    <t>0B0H</t>
  </si>
  <si>
    <t>TSG3n HT-PWM V phase compare register</t>
  </si>
  <si>
    <t>TSG3nCMPV</t>
  </si>
  <si>
    <t>0B4H</t>
  </si>
  <si>
    <t>TSG3n HT-PWM W phase compare register</t>
  </si>
  <si>
    <t>TSG3nCMPW</t>
  </si>
  <si>
    <t>0B8H</t>
  </si>
  <si>
    <t>TSG3n bit extended HT-PWM U phase compare register</t>
  </si>
  <si>
    <t>TSG3nCMPUE</t>
  </si>
  <si>
    <t>188H</t>
  </si>
  <si>
    <t>TSG3n bit extended HT-PWM V phase compare register</t>
  </si>
  <si>
    <t>TSG3nCMPVE</t>
  </si>
  <si>
    <t>184H</t>
  </si>
  <si>
    <t>TSG3n bit extended HT-PWM W phase compare register</t>
  </si>
  <si>
    <t>TSG3nCMPWE</t>
  </si>
  <si>
    <t>180H</t>
  </si>
  <si>
    <t>TSG3n SP-PWM U phase active width register</t>
  </si>
  <si>
    <t>TSG3nUPW</t>
  </si>
  <si>
    <t>0BCH</t>
  </si>
  <si>
    <t>TSG3n SP-PWM V phase active width register</t>
  </si>
  <si>
    <t>TSG3nVPW</t>
  </si>
  <si>
    <t>0C0H</t>
  </si>
  <si>
    <t>TSG3n SP-PWM W phase active width register</t>
  </si>
  <si>
    <t>TSG3nWPW</t>
  </si>
  <si>
    <t>0C4H</t>
  </si>
  <si>
    <t>TSG3n bit extended SP-PWM U phase active width register</t>
  </si>
  <si>
    <t>TSG3nUPWE</t>
  </si>
  <si>
    <t>198H</t>
  </si>
  <si>
    <t>TSG3n bit extended SP-PWM V phase active width register</t>
  </si>
  <si>
    <t>TSG3nVPWE</t>
  </si>
  <si>
    <t>194H</t>
  </si>
  <si>
    <t>TSG3n bit extended SP-PWM W phase active width register</t>
  </si>
  <si>
    <t>TSG3nWPWE</t>
  </si>
  <si>
    <t>190H</t>
  </si>
  <si>
    <t>TSG3n HSP-PWM W phase shift register</t>
  </si>
  <si>
    <t>TSG3nHSPSHWE</t>
  </si>
  <si>
    <t>120H</t>
  </si>
  <si>
    <t>TSG3n HSP-PWM V phase shift register</t>
  </si>
  <si>
    <t>TSG3nHSPSHVE</t>
  </si>
  <si>
    <t>124H</t>
  </si>
  <si>
    <t>TSG3n HSP-PWM U phase shift register</t>
  </si>
  <si>
    <t>TSG3nHSPSHUE</t>
  </si>
  <si>
    <t>128H</t>
  </si>
  <si>
    <t>TSG3n HSP-PWM W phase compare register</t>
  </si>
  <si>
    <t>TSG3nHSPCMWE</t>
  </si>
  <si>
    <t>12CH</t>
  </si>
  <si>
    <t>TSG3n HSP-PWM V phase compare register</t>
  </si>
  <si>
    <t>TSG3nHSPCMVE</t>
  </si>
  <si>
    <t>130H</t>
  </si>
  <si>
    <t>TSG3n HSP-PWM U phase compare register</t>
  </si>
  <si>
    <t>TSG3nHSPCMUE</t>
  </si>
  <si>
    <t>134H</t>
  </si>
  <si>
    <t>TSG3n dead time protection register</t>
  </si>
  <si>
    <t>TSG3nDTPR</t>
  </si>
  <si>
    <t>210H</t>
  </si>
  <si>
    <t>Data
 Sheet
Order</t>
  </si>
  <si>
    <t>TSG3nDWD</t>
  </si>
  <si>
    <t>TSG3nMD[2:0]</t>
  </si>
  <si>
    <t>8 bit Register</t>
  </si>
  <si>
    <t>Select HT-PWM Mode</t>
  </si>
  <si>
    <t>16 bit Register</t>
  </si>
  <si>
    <t>TSG3nPTC[1:0]</t>
  </si>
  <si>
    <t>PRC</t>
  </si>
  <si>
    <t>NDC</t>
  </si>
  <si>
    <t>TDC</t>
  </si>
  <si>
    <t>PEC</t>
  </si>
  <si>
    <t>PPC</t>
  </si>
  <si>
    <t>TAB0</t>
  </si>
  <si>
    <t>TBA1</t>
  </si>
  <si>
    <t>TBA2</t>
  </si>
  <si>
    <t>Enable detection of simultaneous pins on</t>
  </si>
  <si>
    <t>CKS</t>
  </si>
  <si>
    <t>Selects PCLK as count clock</t>
  </si>
  <si>
    <t>RIA</t>
  </si>
  <si>
    <t>RMC</t>
  </si>
  <si>
    <t>Set Reload mode, location set by CTL4</t>
  </si>
  <si>
    <t>PRE</t>
  </si>
  <si>
    <t>VRE</t>
  </si>
  <si>
    <t>PIE</t>
  </si>
  <si>
    <t>VIE</t>
  </si>
  <si>
    <t>RCC</t>
  </si>
  <si>
    <t>Reload at Valley, no interrupts</t>
  </si>
  <si>
    <t>ACC</t>
  </si>
  <si>
    <t>AT09</t>
  </si>
  <si>
    <t>AT08</t>
  </si>
  <si>
    <t>AT07</t>
  </si>
  <si>
    <t>AT06</t>
  </si>
  <si>
    <t>AT05</t>
  </si>
  <si>
    <t>AT04</t>
  </si>
  <si>
    <t>AT03</t>
  </si>
  <si>
    <t>AT02</t>
  </si>
  <si>
    <t>AT01</t>
  </si>
  <si>
    <t>AT00</t>
  </si>
  <si>
    <t>Enables ADTRG0 on DCMP0E incrementing</t>
  </si>
  <si>
    <t>AT19</t>
  </si>
  <si>
    <t>AT18</t>
  </si>
  <si>
    <t>SPSTLO</t>
  </si>
  <si>
    <t>SPSTL1</t>
  </si>
  <si>
    <t>SPSTL2</t>
  </si>
  <si>
    <t>N/A for HT-PWM Mode</t>
  </si>
  <si>
    <t>120DCMC</t>
  </si>
  <si>
    <t>TOE1</t>
  </si>
  <si>
    <t>TOE2</t>
  </si>
  <si>
    <t>TOE3</t>
  </si>
  <si>
    <t>TOE4</t>
  </si>
  <si>
    <t>TOE5</t>
  </si>
  <si>
    <t>TOE6</t>
  </si>
  <si>
    <t>TOS</t>
  </si>
  <si>
    <t>TGS</t>
  </si>
  <si>
    <t>WOC</t>
  </si>
  <si>
    <t>EOC</t>
  </si>
  <si>
    <t>PTS</t>
  </si>
  <si>
    <t>RESERVED</t>
  </si>
  <si>
    <t>TO1</t>
  </si>
  <si>
    <t>TO2</t>
  </si>
  <si>
    <t>TO6</t>
  </si>
  <si>
    <t>TO5</t>
  </si>
  <si>
    <t>TO4</t>
  </si>
  <si>
    <t>TO3</t>
  </si>
  <si>
    <t>OL1</t>
  </si>
  <si>
    <t>OL2</t>
  </si>
  <si>
    <t>OL6</t>
  </si>
  <si>
    <t>OL5</t>
  </si>
  <si>
    <t>OL4</t>
  </si>
  <si>
    <t>OL3</t>
  </si>
  <si>
    <t>TOL1</t>
  </si>
  <si>
    <t>TOL2</t>
  </si>
  <si>
    <t>TOL6</t>
  </si>
  <si>
    <t>TOL5</t>
  </si>
  <si>
    <t>TOL4</t>
  </si>
  <si>
    <t>TOL3</t>
  </si>
  <si>
    <t>TE</t>
  </si>
  <si>
    <t>RSF</t>
  </si>
  <si>
    <t>SUF</t>
  </si>
  <si>
    <t>CUF</t>
  </si>
  <si>
    <t>OPF[2:0]</t>
  </si>
  <si>
    <t>TSF</t>
  </si>
  <si>
    <t>TBF2</t>
  </si>
  <si>
    <t>TBF1</t>
  </si>
  <si>
    <t>TBF0</t>
  </si>
  <si>
    <t>PPF</t>
  </si>
  <si>
    <t>PEF</t>
  </si>
  <si>
    <t>TDF</t>
  </si>
  <si>
    <t>NDF</t>
  </si>
  <si>
    <t>PRF</t>
  </si>
  <si>
    <t>PTF</t>
  </si>
  <si>
    <t>TBR2</t>
  </si>
  <si>
    <t>TBR1</t>
  </si>
  <si>
    <t>TBR0</t>
  </si>
  <si>
    <t>PPR</t>
  </si>
  <si>
    <t>PER</t>
  </si>
  <si>
    <t>TDR</t>
  </si>
  <si>
    <t>NDR</t>
  </si>
  <si>
    <t>PRR</t>
  </si>
  <si>
    <t>PTR</t>
  </si>
  <si>
    <t>SOC</t>
  </si>
  <si>
    <t>STE</t>
  </si>
  <si>
    <t>POT</t>
  </si>
  <si>
    <t>PSS</t>
  </si>
  <si>
    <t>IDC</t>
  </si>
  <si>
    <t>PSC</t>
  </si>
  <si>
    <t>SPC[2:0]</t>
  </si>
  <si>
    <t>TS</t>
  </si>
  <si>
    <t>TT</t>
  </si>
  <si>
    <t>IMT</t>
  </si>
  <si>
    <t>18 BIT COUNTER</t>
  </si>
  <si>
    <t>LOWER 16 BITS OF 18 BIT COUNTER</t>
  </si>
  <si>
    <t>18 BIT SUB COUNTER</t>
  </si>
  <si>
    <t>LOWER 16 BITS OF 18 BIT SUB COUNTER</t>
  </si>
  <si>
    <t>18 BIT COMPARE REGISTER</t>
  </si>
  <si>
    <t>LOWER 16 BITS OF 18 BIT COMPARE REGISTER</t>
  </si>
  <si>
    <t>LOWER 16 BITS OF COMPARE 2</t>
  </si>
  <si>
    <t>LOWER 16 BITS OF COMPARE 1</t>
  </si>
  <si>
    <t>LOWER 16 BITS OF COMPARE 4</t>
  </si>
  <si>
    <t>LOWER 16 BITS OF COMPARE 3</t>
  </si>
  <si>
    <t>LOWER 16 BITS OF COMPARE 6</t>
  </si>
  <si>
    <t>LOWER 16 BITS OF COMPARE 8</t>
  </si>
  <si>
    <t>LOWER 16 BITS OF COMPARE 5</t>
  </si>
  <si>
    <t>LOWER 16 BITS OF COMPARE 7</t>
  </si>
  <si>
    <t>LOWER 16 BITS OF COMPARE 9</t>
  </si>
  <si>
    <t>LOWER 16 BITS OF COMPARE 10</t>
  </si>
  <si>
    <t>LOWER 16 BITS OF COMPARE 11</t>
  </si>
  <si>
    <t>LOWER 16 BITS OF COMPARE 12</t>
  </si>
  <si>
    <t>EXTENDED COMPARE 1</t>
  </si>
  <si>
    <t>EXTENDED COMPARE 2</t>
  </si>
  <si>
    <t>EXTENDED COMPARE 3</t>
  </si>
  <si>
    <t>EXTENDED COMPARE 4</t>
  </si>
  <si>
    <t>EXTENDED COMPARE 5</t>
  </si>
  <si>
    <t>EXTENDED COMPARE 6</t>
  </si>
  <si>
    <t>EXTENDED COMPARE 7</t>
  </si>
  <si>
    <t>EXTENDED COMPARE 8</t>
  </si>
  <si>
    <t>EXTENDED COMPARE 9</t>
  </si>
  <si>
    <t>EXTENDED COMPARE 10</t>
  </si>
  <si>
    <t>EXTENDED COMPARE 11</t>
  </si>
  <si>
    <t>EXTENDED COMPARE 12</t>
  </si>
  <si>
    <t>LOWER 16 BITS OF DCMP1E</t>
  </si>
  <si>
    <t>LOWER 16 BITS OF DCMP0E</t>
  </si>
  <si>
    <t>LOWER 16 BITS OF DCMP2E</t>
  </si>
  <si>
    <t>EXTENDED DIAGNOSTIC OUTPUT COMPARE 0</t>
  </si>
  <si>
    <t>EXTENDED DIAGNOSTIC OUTPUT COMPARE 1</t>
  </si>
  <si>
    <t>EXTENDED DIAGNOSTIC OUTPUT COMPARE 2</t>
  </si>
  <si>
    <t>PAT5T</t>
  </si>
  <si>
    <t>PAT4T</t>
  </si>
  <si>
    <t>PAT3T</t>
  </si>
  <si>
    <t>PAT1T</t>
  </si>
  <si>
    <t>PAT0T</t>
  </si>
  <si>
    <t>PAT5B</t>
  </si>
  <si>
    <t>PAT4B</t>
  </si>
  <si>
    <t>PAT3B</t>
  </si>
  <si>
    <t>PAT2T</t>
  </si>
  <si>
    <t>PAT2B</t>
  </si>
  <si>
    <t>PAT1B</t>
  </si>
  <si>
    <t>PAT0B</t>
  </si>
  <si>
    <t>WRITE PROTECTION CODE CHECK</t>
  </si>
  <si>
    <t>DTC0 - DEAD TIME COMPARE</t>
  </si>
  <si>
    <t>DTC1 - DEAD TIME COMPARE</t>
  </si>
  <si>
    <t>LOWER 16 BITS OF CMPUE</t>
  </si>
  <si>
    <t>LOWER 16 BITS OF CMPVE</t>
  </si>
  <si>
    <t>LOWER 16 BITS OF CMPWE</t>
  </si>
  <si>
    <t>EXTENDED U PHASE COMPARE</t>
  </si>
  <si>
    <t>EXTENDED V PHASE COMPARE</t>
  </si>
  <si>
    <t>EXTENDED W PHASE COMPARE</t>
  </si>
  <si>
    <t>LOWER 16 BITS OF EXTENDED U PHASE ACTIVE WIDTH</t>
  </si>
  <si>
    <t>LOWER 16 BITS OF EXTENDED V PHASE ACTIVE WIDTH</t>
  </si>
  <si>
    <t>LOWER 16 BITS OF EXTENDED W PHASE ACTIVE WIDTH</t>
  </si>
  <si>
    <t>EXTENDED W PHASE ACTIVE WIDTH</t>
  </si>
  <si>
    <t>EXTENDED U PHASE ACTIVE WIDTH</t>
  </si>
  <si>
    <t>EXTENDED V PHASE ACTIVE WIDTH</t>
  </si>
  <si>
    <t>EXTENDED PWM MODE W PHASE SHIFT REGISTER</t>
  </si>
  <si>
    <t>EXTENDED PWM MODE V PHASE SHIFT REGISTER</t>
  </si>
  <si>
    <t>EXTENDED PWM MODE U PHASE SHIFT REGISTER</t>
  </si>
  <si>
    <t>EXTENDED PWM MODE U PHASE COMPARE REGISTER</t>
  </si>
  <si>
    <t>EXTENDED PWM MODE W PHASE COMPARE REGISTER</t>
  </si>
  <si>
    <t>EXTENDED PWM MODE V PHASE COMPARE REGISTER</t>
  </si>
  <si>
    <t>DTCM</t>
  </si>
  <si>
    <t>WROTE PROTECTION CODE CHECK</t>
  </si>
  <si>
    <t>001</t>
  </si>
  <si>
    <t>00</t>
  </si>
  <si>
    <t>Register</t>
  </si>
  <si>
    <t>TSG31CTL0</t>
  </si>
  <si>
    <t>TSG31CTL1</t>
  </si>
  <si>
    <t>TSG31CTL2</t>
  </si>
  <si>
    <t>TSG31CTL3</t>
  </si>
  <si>
    <t>TSG31CTL4</t>
  </si>
  <si>
    <t>TSG31CTL5</t>
  </si>
  <si>
    <t>TSG31CTL6</t>
  </si>
  <si>
    <t>TSG31CTL7</t>
  </si>
  <si>
    <t>TSG31CTL8</t>
  </si>
  <si>
    <t>TSG31IOC0</t>
  </si>
  <si>
    <t>TSG31IOC1</t>
  </si>
  <si>
    <t>TSG31IOC2</t>
  </si>
  <si>
    <t>TSG31IOC3</t>
  </si>
  <si>
    <t>TSG31STR0</t>
  </si>
  <si>
    <t>TSG31STR1</t>
  </si>
  <si>
    <t>TSG31STR2</t>
  </si>
  <si>
    <t>TSG31STC</t>
  </si>
  <si>
    <t>TSG31OPT0</t>
  </si>
  <si>
    <t>TSG31OPT1</t>
  </si>
  <si>
    <t>TSG31TRG0</t>
  </si>
  <si>
    <t>TSG31TRG1</t>
  </si>
  <si>
    <t>TSG31TRG2</t>
  </si>
  <si>
    <t>TSG31CNT</t>
  </si>
  <si>
    <t>TSG31CNTE</t>
  </si>
  <si>
    <t>TSG31SBC</t>
  </si>
  <si>
    <t>TSG31SBCE</t>
  </si>
  <si>
    <t>TSG31CMP0</t>
  </si>
  <si>
    <t>TSG31CMP0E</t>
  </si>
  <si>
    <t>TSG31CMP1W</t>
  </si>
  <si>
    <t>TSG31CMP3W</t>
  </si>
  <si>
    <t>TSG31CMP5W</t>
  </si>
  <si>
    <t>TSG31CMP7W</t>
  </si>
  <si>
    <t>TSG31CMP9W</t>
  </si>
  <si>
    <t>TSG31CMP11W</t>
  </si>
  <si>
    <t>TSG31CMP1</t>
  </si>
  <si>
    <t>TSG31CMP2</t>
  </si>
  <si>
    <t>TSG31CMP3</t>
  </si>
  <si>
    <t>TSG31CMP4</t>
  </si>
  <si>
    <t>TSG31CMP5</t>
  </si>
  <si>
    <t>TSG31CMP6</t>
  </si>
  <si>
    <t>TSG31CMP7</t>
  </si>
  <si>
    <t>TSG31CMP8</t>
  </si>
  <si>
    <t>TSG31CMP9</t>
  </si>
  <si>
    <t>TSG31CMP10</t>
  </si>
  <si>
    <t>TSG31CMP11</t>
  </si>
  <si>
    <t>TSG31CMP12</t>
  </si>
  <si>
    <t>TSG31CMP1E</t>
  </si>
  <si>
    <t>TSG31CMP2E</t>
  </si>
  <si>
    <t>TSG31CMP3E</t>
  </si>
  <si>
    <t>TSG31CMP4E</t>
  </si>
  <si>
    <t>TSG31CMP5E</t>
  </si>
  <si>
    <t>TSG31CMP6E</t>
  </si>
  <si>
    <t>TSG31CMP7E</t>
  </si>
  <si>
    <t>TSG31CMP8E</t>
  </si>
  <si>
    <t>TSG31CMP9E</t>
  </si>
  <si>
    <t>TSG31CMP10E</t>
  </si>
  <si>
    <t>TSG31CMP11E</t>
  </si>
  <si>
    <t>TSG31CMP12E</t>
  </si>
  <si>
    <t>TSG31DCMP0W</t>
  </si>
  <si>
    <t>TSG31DCMP2</t>
  </si>
  <si>
    <t>TSG31DCMP0E</t>
  </si>
  <si>
    <t>TSG31DCMP1E</t>
  </si>
  <si>
    <t>TSG31DCMP2E</t>
  </si>
  <si>
    <t>TSG31PAT0W</t>
  </si>
  <si>
    <t>TSG31PAT1W</t>
  </si>
  <si>
    <t>TSG31DTC0W</t>
  </si>
  <si>
    <t>TSG31CMPU</t>
  </si>
  <si>
    <t>TSG31CMPV</t>
  </si>
  <si>
    <t>TSG31CMPW</t>
  </si>
  <si>
    <t>TSG31CMPUE</t>
  </si>
  <si>
    <t>TSG31CMPVE</t>
  </si>
  <si>
    <t>TSG31CMPWE</t>
  </si>
  <si>
    <t>TSG31UPW</t>
  </si>
  <si>
    <t>TSG31VPW</t>
  </si>
  <si>
    <t>TSG31WPW</t>
  </si>
  <si>
    <t>TSG31UPWE</t>
  </si>
  <si>
    <t>TSG31VPWE</t>
  </si>
  <si>
    <t>TSG31WPWE</t>
  </si>
  <si>
    <t>TSG31HSPSHWE</t>
  </si>
  <si>
    <t>TSG31HSPSHVE</t>
  </si>
  <si>
    <t>TSG31HSPSHUE</t>
  </si>
  <si>
    <t>TSG31HSPCMWE</t>
  </si>
  <si>
    <t>TSG31HSPCMVE</t>
  </si>
  <si>
    <t>TSG31HSPCMUE</t>
  </si>
  <si>
    <t>TSG31DTPR</t>
  </si>
  <si>
    <t>Notes</t>
  </si>
  <si>
    <t>Mode</t>
  </si>
  <si>
    <t>Any</t>
  </si>
  <si>
    <t>Set HT-PWM mode (HT-PWM)</t>
  </si>
  <si>
    <t>HT-PWM</t>
  </si>
  <si>
    <t>Setting</t>
  </si>
  <si>
    <t>The output pulse width is set to 8 clocks.</t>
  </si>
  <si>
    <t>Diagnostic output is not used</t>
  </si>
  <si>
    <t>Disables detection of simultaneous active states of the TSG3nO5 and TSG3nO6 pins.</t>
  </si>
  <si>
    <t>The gate drive prevents simultaneous conduction.  This extra protection is not needed</t>
  </si>
  <si>
    <t>Disables detection of simultaneous active states of the TSG3nO3 and TSG3nO4 pins.</t>
  </si>
  <si>
    <t>Disables detection of simultaneous active states of the TSG3nO1 and TSG3nO2 pins.</t>
  </si>
  <si>
    <t>120-DC</t>
  </si>
  <si>
    <t>Disables detection of I/O pattern difference.</t>
  </si>
  <si>
    <t>Disables detection of the pattern error of the TSG3nPTSI2-0 pins.</t>
  </si>
  <si>
    <t>Mode not used</t>
  </si>
  <si>
    <t>Disables detection of the simultaneous trigger of the TSG3nOPCI0 and TSG3nOPCI1.</t>
  </si>
  <si>
    <t>Disables detection of the noise generation on the TSG3nPTSI2-0 pins.</t>
  </si>
  <si>
    <t>Disables detection of an abnormal toggle of the TSG3nPTSI2-0 pins.</t>
  </si>
  <si>
    <t>0: Disables detection of the reversal of the pattern of the TSG3nPTSI2-0 pins.</t>
  </si>
  <si>
    <t>Selects PCLK as a count clock.</t>
  </si>
  <si>
    <t>Other option is to use external clock</t>
  </si>
  <si>
    <t>Selects the reload timing of the compare register values</t>
  </si>
  <si>
    <t>The reload timing is set to peak reload timing (set by TSG3nCTL4.TSG3nPRE) and valley reload timing (set by TSG3nCTL4.TSG3nVRE).</t>
  </si>
  <si>
    <t>Reload mode (simultaneous rewrite)
Writing to registers to be reloaded enables reloading and the register values are rewritten simultaneously at the next reload timing. Writing to any register other than registers to be reloaded does not enable reloading.</t>
  </si>
  <si>
    <t>Disables reload operation at the peak timing of the 18-bit counter.</t>
  </si>
  <si>
    <t>Enables reload operation at the valley timing of the 18-bit counter.</t>
  </si>
  <si>
    <t>Disables generation of a peak interrupt (INTTSG3nIPEK) at the peak timing of the 18-bit counter. Interrupts are not skipped.</t>
  </si>
  <si>
    <t>Disables generation of a valley interrupt (INTTSG3nIVLY) at the valley timing of the 18-bit counter. Interrupts are not skipped.</t>
  </si>
  <si>
    <t>Specifies the skipping rate of the interrupts (INTTSG3nIPEK and INTTSG3nIVLY) and reload.  Skipping disabled.</t>
  </si>
  <si>
    <t>Don’t want to skip any reloads, all should happen immediately</t>
  </si>
  <si>
    <t>Specifies the skipping rate of the A/D conversion trigger</t>
  </si>
  <si>
    <t>Don't want to skip any ADC SOC triggers</t>
  </si>
  <si>
    <t>Disables generation of the A/D conversion trigger at the peak timing of the 18-bit sub-counter.</t>
  </si>
  <si>
    <t>Disables generation of the A/D conversion trigger at the valley timing of the 18-bit sub-counter</t>
  </si>
  <si>
    <t>Disables generation of the A/D conversion trigger at the match timing of the 18-bit counter value during decrementation with the TSG3nDCMP2E value.</t>
  </si>
  <si>
    <t>Disables generation of the A/D conversion trigger at the match timing of the 18-bit counter value during incrementation with the TSG3nDCMP2E value</t>
  </si>
  <si>
    <t>Enables generation of the A/D conversion trigger at the match timing of the 18-bit counter value during decrementation with the TSG3nDCMP1E value</t>
  </si>
  <si>
    <r>
      <rPr>
        <b/>
        <sz val="10"/>
        <rFont val="Arial"/>
        <family val="2"/>
      </rPr>
      <t>Enables</t>
    </r>
    <r>
      <rPr>
        <sz val="10"/>
        <rFont val="Arial"/>
        <family val="2"/>
      </rPr>
      <t xml:space="preserve"> generation of the A/D conversion trigger at the match timing of the 18-bit counter value during decrementation with the TSG3nDCMP1E value</t>
    </r>
  </si>
  <si>
    <t>Disables generation of the A/D conversion trigger at the match timing of the 18-bit counter value during incrementation with the TSG3nDCMP1E.</t>
  </si>
  <si>
    <t>2mSec ADC SOC</t>
  </si>
  <si>
    <r>
      <rPr>
        <b/>
        <sz val="10"/>
        <rFont val="Arial"/>
        <family val="2"/>
      </rPr>
      <t>Enables</t>
    </r>
    <r>
      <rPr>
        <sz val="10"/>
        <rFont val="Arial"/>
        <family val="2"/>
      </rPr>
      <t xml:space="preserve"> generation of the A/D conversion trigger at the timing of the 18-bit counter value during incrementation with the TSG3nDCMP0E.</t>
    </r>
  </si>
  <si>
    <t>Disables generation of the A/D conversion trigger at the timing of a peak interrupt (INTTSG3nIPEK) after being skipped.</t>
  </si>
  <si>
    <r>
      <t>Disables</t>
    </r>
    <r>
      <rPr>
        <sz val="10"/>
        <rFont val="Arial"/>
        <family val="2"/>
      </rPr>
      <t xml:space="preserve"> generation of the A/D conversion trigger at the match timing of the 18-bit counter value during decrementation with the TSG3nDCMP0E value</t>
    </r>
  </si>
  <si>
    <t>Disables generation of the A/D conversion trigger at the timing of a valley interrupt (INTTSG3nIVLY) after being skipped.</t>
  </si>
  <si>
    <t>MtrCtrl - Peak</t>
  </si>
  <si>
    <t>AT17</t>
  </si>
  <si>
    <t>AT16</t>
  </si>
  <si>
    <t>AT15</t>
  </si>
  <si>
    <t>AT14</t>
  </si>
  <si>
    <t>AT13</t>
  </si>
  <si>
    <t>AT12</t>
  </si>
  <si>
    <t>AT11</t>
  </si>
  <si>
    <t>AT10</t>
  </si>
  <si>
    <t>2mSec</t>
  </si>
  <si>
    <t>Disables generation of the A/D conversion trigger at the timing of the 18-bit counter value during incrementation with the TSG3nDCMP0E.</t>
  </si>
  <si>
    <t>SP-PWM mode</t>
  </si>
  <si>
    <t>SP-PWM</t>
  </si>
  <si>
    <t>TSG3nTOL6 to 1 should be set to 0 in HT-PWM mode</t>
  </si>
  <si>
    <t>Outputs the normal level.</t>
  </si>
  <si>
    <t>Outputs the up/down count flag of the 18-bit counter</t>
  </si>
  <si>
    <t>Not used</t>
  </si>
  <si>
    <t>Selects A/D conversion trigger output</t>
  </si>
  <si>
    <t>Disables generation of a warning interrupt</t>
  </si>
  <si>
    <t>Disables generation of an error interrupt</t>
  </si>
  <si>
    <t>Disables output of the toggle signal by edge detection of TSG3nPTSI0 to TSG3nPTSI2.</t>
  </si>
  <si>
    <t>Enables control of TSG3nO6 to TSG3nO1 by rewriting TSG3nIOC2</t>
  </si>
  <si>
    <t>Active level is high level</t>
  </si>
  <si>
    <t>Latch level of output buffer is low level</t>
  </si>
  <si>
    <t>TSG3n Status Clear Trigger Register</t>
  </si>
  <si>
    <t>Does not clear TSG3nTBF2</t>
  </si>
  <si>
    <t>Does not clear TSG3nTBF0</t>
  </si>
  <si>
    <t>Does not clear TSG3nTBF1</t>
  </si>
  <si>
    <t>Does not clear TSG3nPPF</t>
  </si>
  <si>
    <t>Does not clear TSG3nPEF</t>
  </si>
  <si>
    <t>Does not clear TSG3nNDF</t>
  </si>
  <si>
    <t>Does not clear TSG3nTDF</t>
  </si>
  <si>
    <t>Does not clear TSG3nPRF</t>
  </si>
  <si>
    <t>Does not clear TSG3nPTF</t>
  </si>
  <si>
    <t>Specifies the timer output pattern when software output function is enabled and in 120-DC mode.</t>
  </si>
  <si>
    <t>Disables control by software</t>
  </si>
  <si>
    <t>Disables the TSG3nPTSI0 to TSG3nPTSI2 and TSG3nOPCI0, and TSG3nOPCI1 inputs</t>
  </si>
  <si>
    <t>Switches the output pattern by the external pattern input pins (TSG3nPTSI0 to TSG3nPTSI2) (pattern switch method)</t>
  </si>
  <si>
    <t>The pattern output order is not switched by TSG3nPSC</t>
  </si>
  <si>
    <t>Determines the output pattern from the TSG3nO1 to TSG3nO6 pins in combination with the TSG3nIDC and TSG3nSTR1.TSG3nTSF and TSG3nPSC signals</t>
  </si>
  <si>
    <t>Switches the timer output (TSG3nO1 to TSG3nO6) in the normal rotation</t>
  </si>
  <si>
    <t>The timer is started</t>
  </si>
  <si>
    <t>Do not write to this register</t>
  </si>
  <si>
    <t>Anytime Rewrite Trigger</t>
  </si>
  <si>
    <t>Model</t>
  </si>
  <si>
    <t>Never Write</t>
  </si>
  <si>
    <t>HSP-PWM</t>
  </si>
  <si>
    <t>TSG31DTC1W</t>
  </si>
  <si>
    <t>Read Only</t>
  </si>
  <si>
    <t>000000000000000</t>
  </si>
  <si>
    <t>Need to ask Milsap if this feature is required</t>
  </si>
  <si>
    <t>Setting Description</t>
  </si>
  <si>
    <t>Field Names</t>
  </si>
  <si>
    <t>Periodic</t>
  </si>
  <si>
    <t>Dynamic</t>
  </si>
  <si>
    <t>Static</t>
  </si>
  <si>
    <t>Phase A</t>
  </si>
  <si>
    <t>Phase B</t>
  </si>
  <si>
    <t>Phase C</t>
  </si>
  <si>
    <t>Address
(Hex)</t>
  </si>
  <si>
    <t>Address
(Dec)</t>
  </si>
  <si>
    <t>From CMPUE</t>
  </si>
  <si>
    <t>MtrPos SPI</t>
  </si>
  <si>
    <t>Period</t>
  </si>
  <si>
    <t>From CMPWE</t>
  </si>
  <si>
    <t>From CMPVE</t>
  </si>
  <si>
    <t>TSG Update</t>
  </si>
  <si>
    <t>------</t>
  </si>
  <si>
    <t>MtrCtrl Valley ADC SOC</t>
  </si>
  <si>
    <t>MtrCtrl Peak ADC SOC</t>
  </si>
  <si>
    <t>Static, Dynamic</t>
  </si>
  <si>
    <t>2mSec ADC SOC, MtrCtrl Peak ADC SOC</t>
  </si>
  <si>
    <t>AdcStrtOfCnvnMotCtrlPeak</t>
  </si>
  <si>
    <t>AdcStrtOfCnvnMotCtrlVly</t>
  </si>
  <si>
    <t>AdcStrtOfCnvn2</t>
  </si>
  <si>
    <t>PWM Period</t>
  </si>
  <si>
    <t>DmaTSG31Upd</t>
  </si>
  <si>
    <t>PhaCUpprCmd</t>
  </si>
  <si>
    <t>PhaCLowrCmd</t>
  </si>
  <si>
    <t>PhaBUpprCmd</t>
  </si>
  <si>
    <t>PhaBLowrCmd</t>
  </si>
  <si>
    <t>PhaAUpprCmd</t>
  </si>
  <si>
    <t>PhaALowrCmd</t>
  </si>
  <si>
    <t>Requirement</t>
  </si>
  <si>
    <t>CM475A_57</t>
  </si>
  <si>
    <t>CM475A_51</t>
  </si>
  <si>
    <t>CM475A_52</t>
  </si>
  <si>
    <t>CM475A_56</t>
  </si>
  <si>
    <t>Used for Valley DMA Trigger</t>
  </si>
  <si>
    <t>CM475A_61
CM475A_64
CM475A_63</t>
  </si>
  <si>
    <t>CM475A_90</t>
  </si>
  <si>
    <t>DmaMotAg0SpiStrt</t>
  </si>
  <si>
    <t>CM475A_62</t>
  </si>
  <si>
    <t>CM475A_65</t>
  </si>
  <si>
    <t>Write Constraints</t>
  </si>
  <si>
    <t>Write at field level</t>
  </si>
  <si>
    <t>Not applicable</t>
  </si>
  <si>
    <t>Register level only</t>
  </si>
  <si>
    <t>TBA0</t>
  </si>
  <si>
    <t>Can be written at field or register level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</si>
</sst>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0"/>
      <name val="Arial"/>
    </font>
    <font>
      <sz val="10"/>
      <name val="Arial"/>
      <family val="2"/>
    </font>
    <font>
      <b/>
      <sz val="10"/>
      <name val="Arial"/>
      <family val="2"/>
    </font>
  </fonts>
  <fills count="4">
    <fill>
      <patternFill patternType="none"/>
    </fill>
    <fill>
      <patternFill patternType="gray125"/>
    </fill>
    <fill>
      <patternFill patternType="solid">
        <fgColor rgb="FF00B050"/>
        <bgColor indexed="64"/>
      </patternFill>
    </fill>
    <fill>
      <patternFill patternType="solid">
        <fgColor rgb="FFFF00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22">
    <xf numFmtId="0" fontId="0" fillId="0" borderId="0" xfId="0"/>
    <xf numFmtId="0" fontId="0" fillId="0" borderId="1" xfId="0" applyFill="1" applyBorder="1" applyAlignment="1">
      <alignment horizontal="centerContinuous" shrinkToFit="1"/>
    </xf>
    <xf numFmtId="0" fontId="0" fillId="0" borderId="0" xfId="0" applyFill="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wrapText="1"/>
    </xf>
    <xf numFmtId="0" fontId="0" fillId="0" borderId="0" xfId="0" applyAlignment="1">
      <alignment horizontal="center" vertical="center" wrapText="1"/>
    </xf>
    <xf numFmtId="0" fontId="1" fillId="0" borderId="0" xfId="0" applyFont="1" applyAlignment="1">
      <alignment horizontal="center" vertical="center" wrapText="1"/>
    </xf>
    <xf numFmtId="0" fontId="1" fillId="0" borderId="0" xfId="0" applyFont="1" applyAlignment="1">
      <alignment wrapText="1"/>
    </xf>
    <xf numFmtId="0" fontId="1" fillId="0" borderId="1" xfId="0" applyFont="1" applyFill="1" applyBorder="1" applyAlignment="1">
      <alignment horizontal="centerContinuous" shrinkToFit="1"/>
    </xf>
    <xf numFmtId="0" fontId="1" fillId="0" borderId="0" xfId="0" applyFont="1" applyFill="1" applyBorder="1" applyAlignment="1">
      <alignment horizontal="centerContinuous" shrinkToFit="1"/>
    </xf>
    <xf numFmtId="0" fontId="0" fillId="0" borderId="0" xfId="0" applyFill="1" applyBorder="1" applyAlignment="1">
      <alignment horizontal="centerContinuous" shrinkToFit="1"/>
    </xf>
    <xf numFmtId="0" fontId="0" fillId="0" borderId="0" xfId="0" applyFill="1" applyAlignment="1">
      <alignment horizontal="center" wrapText="1"/>
    </xf>
    <xf numFmtId="0" fontId="1" fillId="0" borderId="0" xfId="0" applyFont="1" applyFill="1" applyAlignment="1">
      <alignment horizontal="center" wrapText="1"/>
    </xf>
    <xf numFmtId="0" fontId="1" fillId="0" borderId="0" xfId="0" applyFont="1"/>
    <xf numFmtId="0" fontId="1" fillId="0" borderId="0" xfId="0" quotePrefix="1" applyFont="1" applyAlignment="1">
      <alignment horizontal="center" vertical="center"/>
    </xf>
    <xf numFmtId="0" fontId="0" fillId="0" borderId="0" xfId="0" applyAlignment="1">
      <alignment horizontal="center"/>
    </xf>
    <xf numFmtId="0" fontId="1" fillId="0" borderId="0" xfId="0" quotePrefix="1" applyFont="1" applyAlignment="1">
      <alignment wrapText="1"/>
    </xf>
    <xf numFmtId="0" fontId="0" fillId="0" borderId="0" xfId="0" applyFill="1"/>
    <xf numFmtId="0" fontId="1" fillId="0" borderId="0" xfId="0" applyFont="1" applyFill="1"/>
    <xf numFmtId="0" fontId="0" fillId="2" borderId="0" xfId="0" applyFill="1"/>
    <xf numFmtId="0" fontId="0" fillId="3" borderId="0" xfId="0" applyFill="1" applyAlignment="1">
      <alignment horizontal="center" vertical="center"/>
    </xf>
  </cellXfs>
  <cellStyles count="2">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93"/>
  <sheetViews>
    <sheetView tabSelected="1" zoomScale="85" zoomScaleNormal="85" workbookViewId="0">
      <pane ySplit="2" topLeftCell="A15" activePane="bottomLeft" state="frozen"/>
      <selection pane="bottomLeft" activeCell="E20" sqref="E20"/>
    </sheetView>
  </sheetViews>
  <sheetFormatPr defaultRowHeight="13.2" x14ac:dyDescent="0.25"/>
  <cols>
    <col min="1" max="1" width="4" bestFit="1" customWidth="1"/>
    <col min="2" max="2" width="16.6640625" bestFit="1" customWidth="1"/>
    <col min="3" max="3" width="33.88671875" bestFit="1" customWidth="1"/>
    <col min="4" max="5" width="8.109375" bestFit="1" customWidth="1"/>
    <col min="6" max="6" width="19.88671875" style="3" customWidth="1"/>
    <col min="7" max="7" width="32.6640625" style="5" customWidth="1"/>
    <col min="8" max="8" width="13.33203125" style="5" customWidth="1"/>
    <col min="9" max="9" width="14.109375" style="5" bestFit="1" customWidth="1"/>
    <col min="10" max="10" width="44.44140625" style="5" customWidth="1"/>
    <col min="12" max="12" width="8.33203125" customWidth="1"/>
    <col min="13" max="13" width="44.33203125" customWidth="1"/>
    <col min="14" max="14" width="33.44140625" bestFit="1" customWidth="1"/>
  </cols>
  <sheetData>
    <row r="1" spans="1:14" s="3" customFormat="1" ht="26.4" x14ac:dyDescent="0.25">
      <c r="B1" s="3" t="s">
        <v>450</v>
      </c>
      <c r="C1" s="4" t="s">
        <v>633</v>
      </c>
      <c r="D1" s="7" t="s">
        <v>640</v>
      </c>
      <c r="E1" s="7" t="s">
        <v>641</v>
      </c>
      <c r="F1" s="4" t="s">
        <v>541</v>
      </c>
      <c r="G1" s="7" t="s">
        <v>632</v>
      </c>
      <c r="H1" s="7" t="s">
        <v>664</v>
      </c>
      <c r="I1" s="6" t="s">
        <v>537</v>
      </c>
      <c r="J1" s="7" t="s">
        <v>536</v>
      </c>
      <c r="K1" s="7" t="s">
        <v>1</v>
      </c>
      <c r="L1" s="7" t="s">
        <v>634</v>
      </c>
      <c r="N1" s="4" t="s">
        <v>675</v>
      </c>
    </row>
    <row r="3" spans="1:14" ht="26.4" x14ac:dyDescent="0.25">
      <c r="A3">
        <v>0</v>
      </c>
      <c r="B3" t="s">
        <v>451</v>
      </c>
      <c r="C3" t="s">
        <v>268</v>
      </c>
      <c r="F3" s="3">
        <v>0</v>
      </c>
      <c r="G3" s="8" t="s">
        <v>542</v>
      </c>
      <c r="H3" s="8"/>
      <c r="I3" s="5" t="s">
        <v>538</v>
      </c>
      <c r="J3" s="5" t="s">
        <v>543</v>
      </c>
      <c r="N3" s="14" t="s">
        <v>680</v>
      </c>
    </row>
    <row r="4" spans="1:14" x14ac:dyDescent="0.25">
      <c r="A4">
        <v>1</v>
      </c>
      <c r="B4" t="s">
        <v>451</v>
      </c>
      <c r="C4" t="s">
        <v>269</v>
      </c>
      <c r="F4" s="3" t="s">
        <v>448</v>
      </c>
      <c r="G4" s="8" t="s">
        <v>539</v>
      </c>
      <c r="H4" s="8" t="s">
        <v>665</v>
      </c>
      <c r="I4" s="8" t="s">
        <v>540</v>
      </c>
      <c r="N4" s="14" t="s">
        <v>680</v>
      </c>
    </row>
    <row r="5" spans="1:14" ht="39.6" x14ac:dyDescent="0.25">
      <c r="A5">
        <v>2</v>
      </c>
      <c r="B5" t="s">
        <v>452</v>
      </c>
      <c r="C5" t="s">
        <v>281</v>
      </c>
      <c r="F5" s="3">
        <v>0</v>
      </c>
      <c r="G5" s="8" t="s">
        <v>544</v>
      </c>
      <c r="H5" s="8"/>
      <c r="I5" s="8" t="s">
        <v>538</v>
      </c>
      <c r="J5" s="8" t="s">
        <v>545</v>
      </c>
      <c r="N5" s="14" t="s">
        <v>680</v>
      </c>
    </row>
    <row r="6" spans="1:14" ht="39.6" x14ac:dyDescent="0.25">
      <c r="A6">
        <v>3</v>
      </c>
      <c r="B6" t="s">
        <v>452</v>
      </c>
      <c r="C6" t="s">
        <v>280</v>
      </c>
      <c r="F6" s="3">
        <v>0</v>
      </c>
      <c r="G6" s="8" t="s">
        <v>546</v>
      </c>
      <c r="H6" s="8"/>
      <c r="I6" s="8" t="s">
        <v>538</v>
      </c>
      <c r="J6" s="8" t="s">
        <v>545</v>
      </c>
      <c r="N6" s="14" t="s">
        <v>680</v>
      </c>
    </row>
    <row r="7" spans="1:14" ht="39.6" x14ac:dyDescent="0.25">
      <c r="A7">
        <v>4</v>
      </c>
      <c r="B7" t="s">
        <v>452</v>
      </c>
      <c r="C7" t="s">
        <v>679</v>
      </c>
      <c r="F7" s="3">
        <v>0</v>
      </c>
      <c r="G7" s="8" t="s">
        <v>547</v>
      </c>
      <c r="H7" s="8"/>
      <c r="I7" s="8" t="s">
        <v>538</v>
      </c>
      <c r="J7" s="8" t="s">
        <v>545</v>
      </c>
      <c r="N7" s="14" t="s">
        <v>680</v>
      </c>
    </row>
    <row r="8" spans="1:14" ht="26.4" x14ac:dyDescent="0.25">
      <c r="A8">
        <v>5</v>
      </c>
      <c r="B8" t="s">
        <v>452</v>
      </c>
      <c r="C8" t="s">
        <v>278</v>
      </c>
      <c r="F8" s="3">
        <v>0</v>
      </c>
      <c r="G8" s="5" t="s">
        <v>549</v>
      </c>
      <c r="I8" s="5" t="s">
        <v>548</v>
      </c>
      <c r="J8" s="8" t="s">
        <v>551</v>
      </c>
      <c r="N8" s="14" t="s">
        <v>680</v>
      </c>
    </row>
    <row r="9" spans="1:14" ht="26.4" x14ac:dyDescent="0.25">
      <c r="A9">
        <v>6</v>
      </c>
      <c r="B9" t="s">
        <v>452</v>
      </c>
      <c r="C9" t="s">
        <v>277</v>
      </c>
      <c r="F9" s="3">
        <v>0</v>
      </c>
      <c r="G9" s="5" t="s">
        <v>550</v>
      </c>
      <c r="I9" s="5" t="s">
        <v>548</v>
      </c>
      <c r="J9" s="8" t="s">
        <v>551</v>
      </c>
      <c r="N9" s="14" t="s">
        <v>680</v>
      </c>
    </row>
    <row r="10" spans="1:14" ht="39.6" x14ac:dyDescent="0.25">
      <c r="A10">
        <v>7</v>
      </c>
      <c r="B10" t="s">
        <v>452</v>
      </c>
      <c r="C10" t="s">
        <v>276</v>
      </c>
      <c r="F10" s="3">
        <v>0</v>
      </c>
      <c r="G10" s="8" t="s">
        <v>552</v>
      </c>
      <c r="H10" s="8"/>
      <c r="I10" s="5" t="s">
        <v>548</v>
      </c>
      <c r="J10" s="8" t="s">
        <v>551</v>
      </c>
      <c r="N10" s="14" t="s">
        <v>680</v>
      </c>
    </row>
    <row r="11" spans="1:14" ht="39.6" x14ac:dyDescent="0.25">
      <c r="A11">
        <v>8</v>
      </c>
      <c r="B11" t="s">
        <v>452</v>
      </c>
      <c r="C11" t="s">
        <v>275</v>
      </c>
      <c r="F11" s="3">
        <v>0</v>
      </c>
      <c r="G11" s="8" t="s">
        <v>553</v>
      </c>
      <c r="H11" s="8"/>
      <c r="I11" s="5" t="s">
        <v>548</v>
      </c>
      <c r="J11" s="8" t="s">
        <v>551</v>
      </c>
      <c r="N11" s="14" t="s">
        <v>680</v>
      </c>
    </row>
    <row r="12" spans="1:14" ht="26.4" x14ac:dyDescent="0.25">
      <c r="A12">
        <v>9</v>
      </c>
      <c r="B12" t="s">
        <v>452</v>
      </c>
      <c r="C12" t="s">
        <v>274</v>
      </c>
      <c r="F12" s="3">
        <v>0</v>
      </c>
      <c r="G12" s="8" t="s">
        <v>555</v>
      </c>
      <c r="H12" s="8"/>
      <c r="I12" s="5" t="s">
        <v>548</v>
      </c>
      <c r="J12" s="8" t="s">
        <v>551</v>
      </c>
      <c r="N12" s="14" t="s">
        <v>680</v>
      </c>
    </row>
    <row r="13" spans="1:14" ht="26.4" x14ac:dyDescent="0.25">
      <c r="A13">
        <v>10</v>
      </c>
      <c r="B13" t="s">
        <v>452</v>
      </c>
      <c r="C13" t="s">
        <v>273</v>
      </c>
      <c r="F13" s="3" t="s">
        <v>449</v>
      </c>
      <c r="G13" s="8" t="s">
        <v>554</v>
      </c>
      <c r="H13" s="8"/>
      <c r="I13" s="5" t="s">
        <v>548</v>
      </c>
      <c r="J13" s="8" t="s">
        <v>551</v>
      </c>
      <c r="N13" s="14" t="s">
        <v>680</v>
      </c>
    </row>
    <row r="14" spans="1:14" x14ac:dyDescent="0.25">
      <c r="A14">
        <v>11</v>
      </c>
      <c r="B14" t="s">
        <v>453</v>
      </c>
      <c r="C14" t="s">
        <v>283</v>
      </c>
      <c r="F14" s="3">
        <v>0</v>
      </c>
      <c r="G14" s="5" t="s">
        <v>556</v>
      </c>
      <c r="I14" s="8" t="s">
        <v>538</v>
      </c>
      <c r="J14" s="8" t="s">
        <v>557</v>
      </c>
      <c r="N14" s="14" t="s">
        <v>680</v>
      </c>
    </row>
    <row r="15" spans="1:14" ht="66" x14ac:dyDescent="0.25">
      <c r="A15">
        <v>12</v>
      </c>
      <c r="B15" t="s">
        <v>454</v>
      </c>
      <c r="C15" t="s">
        <v>285</v>
      </c>
      <c r="F15" s="3">
        <v>0</v>
      </c>
      <c r="G15" s="8" t="s">
        <v>559</v>
      </c>
      <c r="H15" s="8"/>
      <c r="I15" s="8" t="s">
        <v>538</v>
      </c>
      <c r="J15" s="5" t="s">
        <v>558</v>
      </c>
      <c r="N15" s="14" t="s">
        <v>680</v>
      </c>
    </row>
    <row r="16" spans="1:14" ht="92.4" x14ac:dyDescent="0.25">
      <c r="A16">
        <v>13</v>
      </c>
      <c r="B16" t="s">
        <v>454</v>
      </c>
      <c r="C16" t="s">
        <v>286</v>
      </c>
      <c r="F16" s="3">
        <v>0</v>
      </c>
      <c r="G16" s="8" t="s">
        <v>560</v>
      </c>
      <c r="H16" s="8"/>
      <c r="I16" s="8" t="s">
        <v>538</v>
      </c>
      <c r="N16" s="14" t="s">
        <v>680</v>
      </c>
    </row>
    <row r="17" spans="1:14" ht="26.4" x14ac:dyDescent="0.25">
      <c r="A17">
        <v>14</v>
      </c>
      <c r="B17" t="s">
        <v>455</v>
      </c>
      <c r="C17" t="s">
        <v>288</v>
      </c>
      <c r="F17" s="21" t="s">
        <v>625</v>
      </c>
      <c r="G17" s="8" t="s">
        <v>561</v>
      </c>
      <c r="H17" s="8"/>
      <c r="I17" s="8" t="s">
        <v>538</v>
      </c>
      <c r="N17" s="14" t="s">
        <v>680</v>
      </c>
    </row>
    <row r="18" spans="1:14" ht="26.4" x14ac:dyDescent="0.25">
      <c r="A18">
        <v>15</v>
      </c>
      <c r="B18" t="s">
        <v>455</v>
      </c>
      <c r="C18" t="s">
        <v>289</v>
      </c>
      <c r="F18" s="21" t="s">
        <v>625</v>
      </c>
      <c r="G18" s="8" t="s">
        <v>562</v>
      </c>
      <c r="H18" s="8"/>
      <c r="I18" s="8" t="s">
        <v>538</v>
      </c>
      <c r="N18" s="14" t="s">
        <v>680</v>
      </c>
    </row>
    <row r="19" spans="1:14" ht="52.8" x14ac:dyDescent="0.25">
      <c r="A19">
        <v>16</v>
      </c>
      <c r="B19" t="s">
        <v>455</v>
      </c>
      <c r="C19" t="s">
        <v>290</v>
      </c>
      <c r="F19" s="21" t="s">
        <v>625</v>
      </c>
      <c r="G19" s="8" t="s">
        <v>563</v>
      </c>
      <c r="H19" s="8"/>
      <c r="I19" s="8" t="s">
        <v>538</v>
      </c>
      <c r="N19" s="14" t="s">
        <v>680</v>
      </c>
    </row>
    <row r="20" spans="1:14" ht="52.8" x14ac:dyDescent="0.25">
      <c r="A20">
        <v>17</v>
      </c>
      <c r="B20" t="s">
        <v>455</v>
      </c>
      <c r="C20" t="s">
        <v>291</v>
      </c>
      <c r="F20" s="21" t="s">
        <v>625</v>
      </c>
      <c r="G20" s="8" t="s">
        <v>564</v>
      </c>
      <c r="H20" s="7" t="s">
        <v>670</v>
      </c>
      <c r="I20" s="8" t="s">
        <v>538</v>
      </c>
      <c r="J20" s="8" t="s">
        <v>669</v>
      </c>
      <c r="N20" s="14" t="s">
        <v>680</v>
      </c>
    </row>
    <row r="21" spans="1:14" ht="52.8" x14ac:dyDescent="0.25">
      <c r="A21">
        <v>18</v>
      </c>
      <c r="B21" t="s">
        <v>455</v>
      </c>
      <c r="C21" t="s">
        <v>292</v>
      </c>
      <c r="F21" s="21" t="s">
        <v>625</v>
      </c>
      <c r="G21" s="8" t="s">
        <v>565</v>
      </c>
      <c r="H21" s="8"/>
      <c r="I21" s="8" t="s">
        <v>538</v>
      </c>
      <c r="J21" s="8" t="s">
        <v>566</v>
      </c>
      <c r="N21" s="14" t="s">
        <v>680</v>
      </c>
    </row>
    <row r="22" spans="1:14" ht="26.4" x14ac:dyDescent="0.25">
      <c r="A22">
        <v>19</v>
      </c>
      <c r="B22" t="s">
        <v>456</v>
      </c>
      <c r="C22" t="s">
        <v>294</v>
      </c>
      <c r="F22" s="3">
        <v>0</v>
      </c>
      <c r="G22" s="5" t="s">
        <v>567</v>
      </c>
      <c r="I22" s="8" t="s">
        <v>538</v>
      </c>
      <c r="J22" s="8" t="s">
        <v>568</v>
      </c>
      <c r="N22" s="14" t="s">
        <v>680</v>
      </c>
    </row>
    <row r="23" spans="1:14" ht="39.6" x14ac:dyDescent="0.25">
      <c r="A23">
        <v>20</v>
      </c>
      <c r="B23" t="s">
        <v>456</v>
      </c>
      <c r="C23" t="s">
        <v>295</v>
      </c>
      <c r="F23" s="3">
        <v>0</v>
      </c>
      <c r="G23" s="8" t="s">
        <v>569</v>
      </c>
      <c r="H23" s="8"/>
      <c r="I23" s="8" t="s">
        <v>538</v>
      </c>
      <c r="N23" s="14" t="s">
        <v>680</v>
      </c>
    </row>
    <row r="24" spans="1:14" ht="39.6" x14ac:dyDescent="0.25">
      <c r="A24">
        <v>21</v>
      </c>
      <c r="B24" t="s">
        <v>456</v>
      </c>
      <c r="C24" t="s">
        <v>296</v>
      </c>
      <c r="F24" s="3">
        <v>0</v>
      </c>
      <c r="G24" s="8" t="s">
        <v>570</v>
      </c>
      <c r="H24" s="8"/>
      <c r="I24" s="8" t="s">
        <v>538</v>
      </c>
      <c r="N24" s="14" t="s">
        <v>680</v>
      </c>
    </row>
    <row r="25" spans="1:14" ht="66" x14ac:dyDescent="0.25">
      <c r="A25">
        <v>22</v>
      </c>
      <c r="B25" t="s">
        <v>456</v>
      </c>
      <c r="C25" t="s">
        <v>297</v>
      </c>
      <c r="F25" s="3">
        <v>0</v>
      </c>
      <c r="G25" s="8" t="s">
        <v>571</v>
      </c>
      <c r="H25" s="8"/>
      <c r="I25" s="8" t="s">
        <v>538</v>
      </c>
      <c r="N25" s="14" t="s">
        <v>680</v>
      </c>
    </row>
    <row r="26" spans="1:14" ht="66" x14ac:dyDescent="0.25">
      <c r="A26">
        <v>23</v>
      </c>
      <c r="B26" t="s">
        <v>456</v>
      </c>
      <c r="C26" t="s">
        <v>298</v>
      </c>
      <c r="F26" s="3">
        <v>0</v>
      </c>
      <c r="G26" s="8" t="s">
        <v>572</v>
      </c>
      <c r="H26" s="8"/>
      <c r="I26" s="8" t="s">
        <v>538</v>
      </c>
      <c r="N26" s="14" t="s">
        <v>680</v>
      </c>
    </row>
    <row r="27" spans="1:14" ht="66" x14ac:dyDescent="0.25">
      <c r="A27">
        <v>24</v>
      </c>
      <c r="B27" t="s">
        <v>456</v>
      </c>
      <c r="C27" t="s">
        <v>299</v>
      </c>
      <c r="F27" s="3">
        <v>0</v>
      </c>
      <c r="G27" s="8" t="s">
        <v>573</v>
      </c>
      <c r="H27" s="8"/>
      <c r="I27" s="8" t="s">
        <v>538</v>
      </c>
      <c r="J27" s="8"/>
      <c r="N27" s="14" t="s">
        <v>680</v>
      </c>
    </row>
    <row r="28" spans="1:14" ht="66" x14ac:dyDescent="0.25">
      <c r="A28">
        <v>25</v>
      </c>
      <c r="B28" t="s">
        <v>456</v>
      </c>
      <c r="C28" t="s">
        <v>300</v>
      </c>
      <c r="F28" s="3">
        <v>0</v>
      </c>
      <c r="G28" s="8" t="s">
        <v>575</v>
      </c>
      <c r="H28" s="8"/>
      <c r="I28" s="8" t="s">
        <v>538</v>
      </c>
      <c r="N28" s="14" t="s">
        <v>680</v>
      </c>
    </row>
    <row r="29" spans="1:14" ht="66" x14ac:dyDescent="0.25">
      <c r="A29">
        <v>26</v>
      </c>
      <c r="B29" t="s">
        <v>456</v>
      </c>
      <c r="C29" t="s">
        <v>301</v>
      </c>
      <c r="F29" s="3">
        <v>0</v>
      </c>
      <c r="G29" s="8" t="s">
        <v>579</v>
      </c>
      <c r="H29" s="8"/>
      <c r="I29" s="8" t="s">
        <v>538</v>
      </c>
      <c r="N29" s="14" t="s">
        <v>680</v>
      </c>
    </row>
    <row r="30" spans="1:14" ht="66" x14ac:dyDescent="0.25">
      <c r="A30">
        <v>27</v>
      </c>
      <c r="B30" t="s">
        <v>456</v>
      </c>
      <c r="C30" t="s">
        <v>302</v>
      </c>
      <c r="F30" s="3">
        <v>1</v>
      </c>
      <c r="G30" s="8" t="s">
        <v>577</v>
      </c>
      <c r="H30" s="8"/>
      <c r="I30" s="8" t="s">
        <v>538</v>
      </c>
      <c r="J30" s="8" t="s">
        <v>581</v>
      </c>
      <c r="N30" s="14" t="s">
        <v>680</v>
      </c>
    </row>
    <row r="31" spans="1:14" ht="52.8" x14ac:dyDescent="0.25">
      <c r="A31">
        <v>28</v>
      </c>
      <c r="B31" t="s">
        <v>456</v>
      </c>
      <c r="C31" t="s">
        <v>303</v>
      </c>
      <c r="F31" s="3">
        <v>0</v>
      </c>
      <c r="G31" s="8" t="s">
        <v>578</v>
      </c>
      <c r="H31" s="8"/>
      <c r="I31" s="8" t="s">
        <v>538</v>
      </c>
      <c r="N31" s="14" t="s">
        <v>680</v>
      </c>
    </row>
    <row r="32" spans="1:14" ht="52.8" x14ac:dyDescent="0.25">
      <c r="A32">
        <v>29</v>
      </c>
      <c r="B32" t="s">
        <v>456</v>
      </c>
      <c r="C32" t="s">
        <v>304</v>
      </c>
      <c r="F32" s="3">
        <v>0</v>
      </c>
      <c r="G32" s="8" t="s">
        <v>580</v>
      </c>
      <c r="H32" s="8"/>
      <c r="I32" s="8" t="s">
        <v>538</v>
      </c>
      <c r="N32" s="14" t="s">
        <v>680</v>
      </c>
    </row>
    <row r="33" spans="1:14" ht="26.4" x14ac:dyDescent="0.25">
      <c r="A33">
        <v>30</v>
      </c>
      <c r="B33" t="s">
        <v>457</v>
      </c>
      <c r="C33" t="s">
        <v>294</v>
      </c>
      <c r="F33" s="3">
        <v>0</v>
      </c>
      <c r="G33" s="5" t="s">
        <v>567</v>
      </c>
      <c r="I33" s="8" t="s">
        <v>538</v>
      </c>
      <c r="N33" s="14" t="s">
        <v>680</v>
      </c>
    </row>
    <row r="34" spans="1:14" ht="39.6" x14ac:dyDescent="0.25">
      <c r="A34">
        <v>31</v>
      </c>
      <c r="B34" t="s">
        <v>457</v>
      </c>
      <c r="C34" t="s">
        <v>306</v>
      </c>
      <c r="F34" s="3">
        <v>0</v>
      </c>
      <c r="G34" s="8" t="s">
        <v>569</v>
      </c>
      <c r="H34" s="8"/>
      <c r="I34" s="8" t="s">
        <v>538</v>
      </c>
      <c r="N34" s="14" t="s">
        <v>680</v>
      </c>
    </row>
    <row r="35" spans="1:14" ht="39.6" x14ac:dyDescent="0.25">
      <c r="A35">
        <v>32</v>
      </c>
      <c r="B35" t="s">
        <v>457</v>
      </c>
      <c r="C35" t="s">
        <v>307</v>
      </c>
      <c r="F35" s="3">
        <v>0</v>
      </c>
      <c r="G35" s="8" t="s">
        <v>570</v>
      </c>
      <c r="H35" s="8"/>
      <c r="I35" s="8" t="s">
        <v>538</v>
      </c>
      <c r="N35" s="14" t="s">
        <v>680</v>
      </c>
    </row>
    <row r="36" spans="1:14" ht="66" x14ac:dyDescent="0.25">
      <c r="A36">
        <v>33</v>
      </c>
      <c r="B36" t="s">
        <v>457</v>
      </c>
      <c r="C36" t="s">
        <v>582</v>
      </c>
      <c r="F36" s="3">
        <v>0</v>
      </c>
      <c r="G36" s="8" t="s">
        <v>571</v>
      </c>
      <c r="H36" s="8"/>
      <c r="I36" s="8" t="s">
        <v>538</v>
      </c>
      <c r="N36" s="14" t="s">
        <v>680</v>
      </c>
    </row>
    <row r="37" spans="1:14" ht="66" x14ac:dyDescent="0.25">
      <c r="A37">
        <v>34</v>
      </c>
      <c r="B37" t="s">
        <v>457</v>
      </c>
      <c r="C37" t="s">
        <v>583</v>
      </c>
      <c r="F37" s="3">
        <v>0</v>
      </c>
      <c r="G37" s="8" t="s">
        <v>572</v>
      </c>
      <c r="H37" s="8"/>
      <c r="I37" s="8" t="s">
        <v>538</v>
      </c>
      <c r="N37" s="14" t="s">
        <v>680</v>
      </c>
    </row>
    <row r="38" spans="1:14" ht="66" x14ac:dyDescent="0.25">
      <c r="A38">
        <v>35</v>
      </c>
      <c r="B38" t="s">
        <v>457</v>
      </c>
      <c r="C38" t="s">
        <v>584</v>
      </c>
      <c r="F38" s="3">
        <v>1</v>
      </c>
      <c r="G38" s="8" t="s">
        <v>574</v>
      </c>
      <c r="H38" s="8"/>
      <c r="I38" s="8" t="s">
        <v>538</v>
      </c>
      <c r="J38" s="8" t="s">
        <v>590</v>
      </c>
      <c r="N38" s="14" t="s">
        <v>680</v>
      </c>
    </row>
    <row r="39" spans="1:14" ht="66" x14ac:dyDescent="0.25">
      <c r="A39">
        <v>36</v>
      </c>
      <c r="B39" t="s">
        <v>457</v>
      </c>
      <c r="C39" t="s">
        <v>585</v>
      </c>
      <c r="F39" s="3">
        <v>0</v>
      </c>
      <c r="G39" s="8" t="s">
        <v>575</v>
      </c>
      <c r="H39" s="8"/>
      <c r="I39" s="8" t="s">
        <v>538</v>
      </c>
      <c r="N39" s="14" t="s">
        <v>680</v>
      </c>
    </row>
    <row r="40" spans="1:14" ht="66" x14ac:dyDescent="0.25">
      <c r="A40">
        <v>37</v>
      </c>
      <c r="B40" t="s">
        <v>457</v>
      </c>
      <c r="C40" t="s">
        <v>586</v>
      </c>
      <c r="F40" s="3">
        <v>0</v>
      </c>
      <c r="G40" s="8" t="s">
        <v>579</v>
      </c>
      <c r="H40" s="8"/>
      <c r="I40" s="8" t="s">
        <v>538</v>
      </c>
      <c r="N40" s="14" t="s">
        <v>680</v>
      </c>
    </row>
    <row r="41" spans="1:14" ht="66" x14ac:dyDescent="0.25">
      <c r="A41">
        <v>38</v>
      </c>
      <c r="B41" t="s">
        <v>457</v>
      </c>
      <c r="C41" t="s">
        <v>587</v>
      </c>
      <c r="F41" s="3">
        <v>0</v>
      </c>
      <c r="G41" s="8" t="s">
        <v>591</v>
      </c>
      <c r="H41" s="8"/>
      <c r="I41" s="8" t="s">
        <v>538</v>
      </c>
      <c r="N41" s="14" t="s">
        <v>680</v>
      </c>
    </row>
    <row r="42" spans="1:14" ht="52.8" x14ac:dyDescent="0.25">
      <c r="A42">
        <v>39</v>
      </c>
      <c r="B42" t="s">
        <v>457</v>
      </c>
      <c r="C42" t="s">
        <v>588</v>
      </c>
      <c r="F42" s="3">
        <v>0</v>
      </c>
      <c r="G42" s="8" t="s">
        <v>578</v>
      </c>
      <c r="H42" s="8"/>
      <c r="I42" s="8" t="s">
        <v>538</v>
      </c>
      <c r="N42" s="14" t="s">
        <v>680</v>
      </c>
    </row>
    <row r="43" spans="1:14" ht="52.8" x14ac:dyDescent="0.25">
      <c r="A43">
        <v>40</v>
      </c>
      <c r="B43" t="s">
        <v>457</v>
      </c>
      <c r="C43" t="s">
        <v>589</v>
      </c>
      <c r="F43" s="3">
        <v>0</v>
      </c>
      <c r="G43" s="8" t="s">
        <v>580</v>
      </c>
      <c r="H43" s="8"/>
      <c r="I43" s="8" t="s">
        <v>538</v>
      </c>
      <c r="N43" s="14" t="s">
        <v>680</v>
      </c>
    </row>
    <row r="44" spans="1:14" ht="26.4" x14ac:dyDescent="0.25">
      <c r="A44">
        <v>41</v>
      </c>
      <c r="B44" t="s">
        <v>460</v>
      </c>
      <c r="C44" t="s">
        <v>318</v>
      </c>
      <c r="F44" s="3">
        <v>1</v>
      </c>
      <c r="G44" s="5" t="s">
        <v>602</v>
      </c>
      <c r="I44" s="8" t="s">
        <v>538</v>
      </c>
      <c r="N44" s="14" t="s">
        <v>680</v>
      </c>
    </row>
    <row r="45" spans="1:14" ht="26.4" x14ac:dyDescent="0.25">
      <c r="A45">
        <v>42</v>
      </c>
      <c r="B45" t="s">
        <v>460</v>
      </c>
      <c r="C45" t="s">
        <v>317</v>
      </c>
      <c r="F45" s="3">
        <v>1</v>
      </c>
      <c r="G45" s="5" t="s">
        <v>602</v>
      </c>
      <c r="I45" s="8" t="s">
        <v>538</v>
      </c>
      <c r="N45" s="14" t="s">
        <v>680</v>
      </c>
    </row>
    <row r="46" spans="1:14" ht="26.4" x14ac:dyDescent="0.25">
      <c r="A46">
        <v>43</v>
      </c>
      <c r="B46" t="s">
        <v>460</v>
      </c>
      <c r="C46" t="s">
        <v>316</v>
      </c>
      <c r="F46" s="3">
        <v>1</v>
      </c>
      <c r="G46" s="5" t="s">
        <v>602</v>
      </c>
      <c r="I46" s="8" t="s">
        <v>538</v>
      </c>
      <c r="N46" s="14" t="s">
        <v>680</v>
      </c>
    </row>
    <row r="47" spans="1:14" ht="26.4" x14ac:dyDescent="0.25">
      <c r="A47">
        <v>44</v>
      </c>
      <c r="B47" t="s">
        <v>460</v>
      </c>
      <c r="C47" t="s">
        <v>315</v>
      </c>
      <c r="F47" s="3">
        <v>1</v>
      </c>
      <c r="G47" s="5" t="s">
        <v>602</v>
      </c>
      <c r="I47" s="8" t="s">
        <v>538</v>
      </c>
      <c r="N47" s="14" t="s">
        <v>680</v>
      </c>
    </row>
    <row r="48" spans="1:14" ht="26.4" x14ac:dyDescent="0.25">
      <c r="A48">
        <v>45</v>
      </c>
      <c r="B48" t="s">
        <v>460</v>
      </c>
      <c r="C48" t="s">
        <v>314</v>
      </c>
      <c r="F48" s="3">
        <v>1</v>
      </c>
      <c r="G48" s="5" t="s">
        <v>602</v>
      </c>
      <c r="I48" s="8" t="s">
        <v>538</v>
      </c>
      <c r="N48" s="14" t="s">
        <v>680</v>
      </c>
    </row>
    <row r="49" spans="1:14" ht="26.4" x14ac:dyDescent="0.25">
      <c r="A49">
        <v>46</v>
      </c>
      <c r="B49" t="s">
        <v>460</v>
      </c>
      <c r="C49" t="s">
        <v>313</v>
      </c>
      <c r="F49" s="3">
        <v>1</v>
      </c>
      <c r="G49" s="5" t="s">
        <v>602</v>
      </c>
      <c r="I49" s="8" t="s">
        <v>538</v>
      </c>
      <c r="N49" s="14" t="s">
        <v>680</v>
      </c>
    </row>
    <row r="50" spans="1:14" ht="39.6" x14ac:dyDescent="0.25">
      <c r="A50">
        <v>47</v>
      </c>
      <c r="B50" t="s">
        <v>461</v>
      </c>
      <c r="C50" t="s">
        <v>323</v>
      </c>
      <c r="F50" s="3">
        <v>0</v>
      </c>
      <c r="G50" s="8" t="s">
        <v>601</v>
      </c>
      <c r="H50" s="8"/>
      <c r="I50" s="8" t="s">
        <v>538</v>
      </c>
      <c r="N50" s="14" t="s">
        <v>680</v>
      </c>
    </row>
    <row r="51" spans="1:14" ht="26.4" x14ac:dyDescent="0.25">
      <c r="A51">
        <v>48</v>
      </c>
      <c r="B51" t="s">
        <v>461</v>
      </c>
      <c r="C51" t="s">
        <v>322</v>
      </c>
      <c r="F51" s="3">
        <v>0</v>
      </c>
      <c r="G51" s="5" t="s">
        <v>600</v>
      </c>
      <c r="I51" s="8" t="s">
        <v>538</v>
      </c>
      <c r="N51" s="14" t="s">
        <v>680</v>
      </c>
    </row>
    <row r="52" spans="1:14" ht="26.4" x14ac:dyDescent="0.25">
      <c r="A52">
        <v>49</v>
      </c>
      <c r="B52" t="s">
        <v>461</v>
      </c>
      <c r="C52" t="s">
        <v>321</v>
      </c>
      <c r="F52" s="3">
        <v>0</v>
      </c>
      <c r="G52" s="5" t="s">
        <v>599</v>
      </c>
      <c r="I52" s="8" t="s">
        <v>538</v>
      </c>
      <c r="N52" s="14" t="s">
        <v>680</v>
      </c>
    </row>
    <row r="53" spans="1:14" x14ac:dyDescent="0.25">
      <c r="A53">
        <v>50</v>
      </c>
      <c r="B53" t="s">
        <v>461</v>
      </c>
      <c r="C53" t="s">
        <v>320</v>
      </c>
      <c r="F53" s="3">
        <v>0</v>
      </c>
      <c r="G53" s="5" t="s">
        <v>598</v>
      </c>
      <c r="I53" s="8" t="s">
        <v>538</v>
      </c>
      <c r="J53" s="8" t="s">
        <v>597</v>
      </c>
      <c r="N53" s="14" t="s">
        <v>680</v>
      </c>
    </row>
    <row r="54" spans="1:14" ht="26.4" x14ac:dyDescent="0.25">
      <c r="A54">
        <v>51</v>
      </c>
      <c r="B54" t="s">
        <v>461</v>
      </c>
      <c r="C54" t="s">
        <v>319</v>
      </c>
      <c r="F54" s="3">
        <v>0</v>
      </c>
      <c r="G54" s="5" t="s">
        <v>596</v>
      </c>
      <c r="I54" s="8" t="s">
        <v>538</v>
      </c>
      <c r="J54" s="8" t="s">
        <v>597</v>
      </c>
      <c r="N54" s="14" t="s">
        <v>680</v>
      </c>
    </row>
    <row r="55" spans="1:14" x14ac:dyDescent="0.25">
      <c r="A55">
        <v>52</v>
      </c>
      <c r="B55" t="s">
        <v>462</v>
      </c>
      <c r="C55" t="s">
        <v>333</v>
      </c>
      <c r="F55" s="3">
        <v>0</v>
      </c>
      <c r="G55" s="5" t="s">
        <v>603</v>
      </c>
      <c r="I55" s="8" t="s">
        <v>538</v>
      </c>
      <c r="N55" s="14" t="s">
        <v>680</v>
      </c>
    </row>
    <row r="56" spans="1:14" x14ac:dyDescent="0.25">
      <c r="A56">
        <v>53</v>
      </c>
      <c r="B56" t="s">
        <v>462</v>
      </c>
      <c r="C56" t="s">
        <v>334</v>
      </c>
      <c r="F56" s="3">
        <v>0</v>
      </c>
      <c r="G56" s="5" t="s">
        <v>603</v>
      </c>
      <c r="I56" s="8" t="s">
        <v>538</v>
      </c>
      <c r="N56" s="14" t="s">
        <v>680</v>
      </c>
    </row>
    <row r="57" spans="1:14" x14ac:dyDescent="0.25">
      <c r="A57">
        <v>54</v>
      </c>
      <c r="B57" t="s">
        <v>462</v>
      </c>
      <c r="C57" t="s">
        <v>335</v>
      </c>
      <c r="F57" s="3">
        <v>0</v>
      </c>
      <c r="G57" s="5" t="s">
        <v>603</v>
      </c>
      <c r="I57" s="8" t="s">
        <v>538</v>
      </c>
      <c r="N57" s="14" t="s">
        <v>680</v>
      </c>
    </row>
    <row r="58" spans="1:14" x14ac:dyDescent="0.25">
      <c r="A58">
        <v>55</v>
      </c>
      <c r="B58" t="s">
        <v>462</v>
      </c>
      <c r="C58" t="s">
        <v>336</v>
      </c>
      <c r="F58" s="3">
        <v>0</v>
      </c>
      <c r="G58" s="5" t="s">
        <v>603</v>
      </c>
      <c r="I58" s="8" t="s">
        <v>538</v>
      </c>
      <c r="N58" s="14" t="s">
        <v>680</v>
      </c>
    </row>
    <row r="59" spans="1:14" x14ac:dyDescent="0.25">
      <c r="A59">
        <v>56</v>
      </c>
      <c r="B59" t="s">
        <v>462</v>
      </c>
      <c r="C59" t="s">
        <v>332</v>
      </c>
      <c r="F59" s="3">
        <v>0</v>
      </c>
      <c r="G59" s="5" t="s">
        <v>603</v>
      </c>
      <c r="I59" s="8" t="s">
        <v>538</v>
      </c>
      <c r="N59" s="14" t="s">
        <v>680</v>
      </c>
    </row>
    <row r="60" spans="1:14" x14ac:dyDescent="0.25">
      <c r="A60">
        <v>57</v>
      </c>
      <c r="B60" t="s">
        <v>462</v>
      </c>
      <c r="C60" t="s">
        <v>331</v>
      </c>
      <c r="F60" s="3">
        <v>0</v>
      </c>
      <c r="G60" s="5" t="s">
        <v>603</v>
      </c>
      <c r="I60" s="8" t="s">
        <v>538</v>
      </c>
      <c r="N60" s="14" t="s">
        <v>680</v>
      </c>
    </row>
    <row r="61" spans="1:14" x14ac:dyDescent="0.25">
      <c r="A61">
        <v>58</v>
      </c>
      <c r="B61" t="s">
        <v>462</v>
      </c>
      <c r="C61" t="s">
        <v>327</v>
      </c>
      <c r="F61" s="3">
        <v>0</v>
      </c>
      <c r="G61" s="8" t="s">
        <v>604</v>
      </c>
      <c r="H61" s="8"/>
      <c r="I61" s="8" t="s">
        <v>538</v>
      </c>
      <c r="N61" s="14" t="s">
        <v>680</v>
      </c>
    </row>
    <row r="62" spans="1:14" x14ac:dyDescent="0.25">
      <c r="A62">
        <v>59</v>
      </c>
      <c r="B62" t="s">
        <v>462</v>
      </c>
      <c r="C62" t="s">
        <v>328</v>
      </c>
      <c r="F62" s="3">
        <v>0</v>
      </c>
      <c r="G62" s="8" t="s">
        <v>604</v>
      </c>
      <c r="H62" s="8"/>
      <c r="I62" s="8" t="s">
        <v>538</v>
      </c>
      <c r="N62" s="14" t="s">
        <v>680</v>
      </c>
    </row>
    <row r="63" spans="1:14" x14ac:dyDescent="0.25">
      <c r="A63">
        <v>60</v>
      </c>
      <c r="B63" t="s">
        <v>462</v>
      </c>
      <c r="C63" t="s">
        <v>329</v>
      </c>
      <c r="F63" s="3">
        <v>0</v>
      </c>
      <c r="G63" s="8" t="s">
        <v>604</v>
      </c>
      <c r="H63" s="8"/>
      <c r="I63" s="8" t="s">
        <v>538</v>
      </c>
      <c r="N63" s="14" t="s">
        <v>680</v>
      </c>
    </row>
    <row r="64" spans="1:14" x14ac:dyDescent="0.25">
      <c r="A64">
        <v>61</v>
      </c>
      <c r="B64" t="s">
        <v>462</v>
      </c>
      <c r="C64" t="s">
        <v>330</v>
      </c>
      <c r="F64" s="3">
        <v>0</v>
      </c>
      <c r="G64" s="8" t="s">
        <v>604</v>
      </c>
      <c r="H64" s="8"/>
      <c r="I64" s="8" t="s">
        <v>538</v>
      </c>
      <c r="N64" s="14" t="s">
        <v>680</v>
      </c>
    </row>
    <row r="65" spans="1:14" x14ac:dyDescent="0.25">
      <c r="A65">
        <v>62</v>
      </c>
      <c r="B65" t="s">
        <v>462</v>
      </c>
      <c r="C65" t="s">
        <v>326</v>
      </c>
      <c r="F65" s="3">
        <v>0</v>
      </c>
      <c r="G65" s="8" t="s">
        <v>604</v>
      </c>
      <c r="H65" s="8"/>
      <c r="I65" s="8" t="s">
        <v>538</v>
      </c>
      <c r="N65" s="14" t="s">
        <v>680</v>
      </c>
    </row>
    <row r="66" spans="1:14" x14ac:dyDescent="0.25">
      <c r="A66">
        <v>63</v>
      </c>
      <c r="B66" t="s">
        <v>462</v>
      </c>
      <c r="C66" t="s">
        <v>325</v>
      </c>
      <c r="F66" s="3">
        <v>0</v>
      </c>
      <c r="G66" s="8" t="s">
        <v>604</v>
      </c>
      <c r="H66" s="8"/>
      <c r="I66" s="8" t="s">
        <v>538</v>
      </c>
      <c r="N66" s="14" t="s">
        <v>680</v>
      </c>
    </row>
    <row r="67" spans="1:14" ht="26.4" x14ac:dyDescent="0.25">
      <c r="A67">
        <v>64</v>
      </c>
      <c r="B67" t="s">
        <v>463</v>
      </c>
      <c r="C67" t="s">
        <v>339</v>
      </c>
      <c r="F67" s="3">
        <v>0</v>
      </c>
      <c r="G67" s="5" t="s">
        <v>595</v>
      </c>
      <c r="I67" s="8" t="s">
        <v>538</v>
      </c>
      <c r="J67" s="5" t="s">
        <v>594</v>
      </c>
      <c r="N67" s="14" t="s">
        <v>680</v>
      </c>
    </row>
    <row r="68" spans="1:14" ht="26.4" x14ac:dyDescent="0.25">
      <c r="A68">
        <v>65</v>
      </c>
      <c r="B68" t="s">
        <v>463</v>
      </c>
      <c r="C68" t="s">
        <v>340</v>
      </c>
      <c r="F68" s="3">
        <v>0</v>
      </c>
      <c r="G68" s="5" t="s">
        <v>595</v>
      </c>
      <c r="I68" s="8" t="s">
        <v>538</v>
      </c>
      <c r="J68" s="5" t="s">
        <v>594</v>
      </c>
      <c r="N68" s="14" t="s">
        <v>680</v>
      </c>
    </row>
    <row r="69" spans="1:14" ht="26.4" x14ac:dyDescent="0.25">
      <c r="A69">
        <v>66</v>
      </c>
      <c r="B69" t="s">
        <v>463</v>
      </c>
      <c r="C69" t="s">
        <v>341</v>
      </c>
      <c r="F69" s="3">
        <v>0</v>
      </c>
      <c r="G69" s="5" t="s">
        <v>595</v>
      </c>
      <c r="I69" s="8" t="s">
        <v>538</v>
      </c>
      <c r="J69" s="5" t="s">
        <v>594</v>
      </c>
      <c r="N69" s="14" t="s">
        <v>680</v>
      </c>
    </row>
    <row r="70" spans="1:14" ht="26.4" x14ac:dyDescent="0.25">
      <c r="A70">
        <v>67</v>
      </c>
      <c r="B70" t="s">
        <v>463</v>
      </c>
      <c r="C70" t="s">
        <v>342</v>
      </c>
      <c r="F70" s="3">
        <v>0</v>
      </c>
      <c r="G70" s="5" t="s">
        <v>595</v>
      </c>
      <c r="I70" s="8" t="s">
        <v>538</v>
      </c>
      <c r="J70" s="5" t="s">
        <v>594</v>
      </c>
      <c r="N70" s="14" t="s">
        <v>680</v>
      </c>
    </row>
    <row r="71" spans="1:14" ht="26.4" x14ac:dyDescent="0.25">
      <c r="A71">
        <v>68</v>
      </c>
      <c r="B71" t="s">
        <v>463</v>
      </c>
      <c r="C71" t="s">
        <v>338</v>
      </c>
      <c r="F71" s="3">
        <v>0</v>
      </c>
      <c r="G71" s="5" t="s">
        <v>595</v>
      </c>
      <c r="I71" s="8" t="s">
        <v>538</v>
      </c>
      <c r="J71" s="5" t="s">
        <v>594</v>
      </c>
      <c r="N71" s="14" t="s">
        <v>680</v>
      </c>
    </row>
    <row r="72" spans="1:14" ht="26.4" x14ac:dyDescent="0.25">
      <c r="A72">
        <v>69</v>
      </c>
      <c r="B72" t="s">
        <v>463</v>
      </c>
      <c r="C72" t="s">
        <v>337</v>
      </c>
      <c r="F72" s="3">
        <v>0</v>
      </c>
      <c r="G72" s="5" t="s">
        <v>595</v>
      </c>
      <c r="I72" s="8" t="s">
        <v>538</v>
      </c>
      <c r="J72" s="5" t="s">
        <v>594</v>
      </c>
      <c r="N72" s="14" t="s">
        <v>680</v>
      </c>
    </row>
    <row r="73" spans="1:14" x14ac:dyDescent="0.25">
      <c r="A73">
        <v>70</v>
      </c>
      <c r="B73" t="s">
        <v>467</v>
      </c>
      <c r="C73" t="s">
        <v>358</v>
      </c>
      <c r="F73" s="3">
        <v>0</v>
      </c>
      <c r="G73" s="8" t="s">
        <v>606</v>
      </c>
      <c r="H73" s="8"/>
      <c r="I73" s="8" t="s">
        <v>538</v>
      </c>
      <c r="J73" s="5" t="s">
        <v>605</v>
      </c>
      <c r="N73" s="14" t="s">
        <v>680</v>
      </c>
    </row>
    <row r="74" spans="1:14" x14ac:dyDescent="0.25">
      <c r="A74">
        <v>71</v>
      </c>
      <c r="B74" t="s">
        <v>467</v>
      </c>
      <c r="C74" t="s">
        <v>359</v>
      </c>
      <c r="F74" s="3">
        <v>0</v>
      </c>
      <c r="G74" s="8" t="s">
        <v>608</v>
      </c>
      <c r="H74" s="8"/>
      <c r="I74" s="8" t="s">
        <v>538</v>
      </c>
      <c r="J74" s="5" t="s">
        <v>605</v>
      </c>
      <c r="N74" s="14" t="s">
        <v>680</v>
      </c>
    </row>
    <row r="75" spans="1:14" x14ac:dyDescent="0.25">
      <c r="A75">
        <v>72</v>
      </c>
      <c r="B75" t="s">
        <v>467</v>
      </c>
      <c r="C75" t="s">
        <v>360</v>
      </c>
      <c r="F75" s="3">
        <v>0</v>
      </c>
      <c r="G75" s="8" t="s">
        <v>607</v>
      </c>
      <c r="H75" s="8"/>
      <c r="I75" s="8" t="s">
        <v>538</v>
      </c>
      <c r="J75" s="5" t="s">
        <v>605</v>
      </c>
      <c r="N75" s="14" t="s">
        <v>680</v>
      </c>
    </row>
    <row r="76" spans="1:14" x14ac:dyDescent="0.25">
      <c r="A76">
        <v>73</v>
      </c>
      <c r="B76" t="s">
        <v>467</v>
      </c>
      <c r="C76" t="s">
        <v>361</v>
      </c>
      <c r="F76" s="3">
        <v>0</v>
      </c>
      <c r="G76" s="5" t="s">
        <v>609</v>
      </c>
      <c r="I76" s="8" t="s">
        <v>538</v>
      </c>
      <c r="J76" s="5" t="s">
        <v>605</v>
      </c>
      <c r="N76" s="14" t="s">
        <v>680</v>
      </c>
    </row>
    <row r="77" spans="1:14" x14ac:dyDescent="0.25">
      <c r="A77">
        <v>74</v>
      </c>
      <c r="B77" t="s">
        <v>467</v>
      </c>
      <c r="C77" t="s">
        <v>362</v>
      </c>
      <c r="F77" s="3">
        <v>0</v>
      </c>
      <c r="G77" s="5" t="s">
        <v>610</v>
      </c>
      <c r="I77" s="8" t="s">
        <v>538</v>
      </c>
      <c r="J77" s="5" t="s">
        <v>605</v>
      </c>
      <c r="N77" s="14" t="s">
        <v>680</v>
      </c>
    </row>
    <row r="78" spans="1:14" x14ac:dyDescent="0.25">
      <c r="A78">
        <v>75</v>
      </c>
      <c r="B78" t="s">
        <v>467</v>
      </c>
      <c r="C78" t="s">
        <v>363</v>
      </c>
      <c r="F78" s="3">
        <v>0</v>
      </c>
      <c r="G78" s="8" t="s">
        <v>612</v>
      </c>
      <c r="H78" s="8"/>
      <c r="I78" s="8" t="s">
        <v>538</v>
      </c>
      <c r="J78" s="5" t="s">
        <v>605</v>
      </c>
      <c r="N78" s="14" t="s">
        <v>680</v>
      </c>
    </row>
    <row r="79" spans="1:14" x14ac:dyDescent="0.25">
      <c r="A79">
        <v>76</v>
      </c>
      <c r="B79" t="s">
        <v>467</v>
      </c>
      <c r="C79" t="s">
        <v>364</v>
      </c>
      <c r="F79" s="3">
        <v>0</v>
      </c>
      <c r="G79" s="5" t="s">
        <v>611</v>
      </c>
      <c r="I79" s="8" t="s">
        <v>538</v>
      </c>
      <c r="J79" s="5" t="s">
        <v>605</v>
      </c>
      <c r="N79" s="14" t="s">
        <v>680</v>
      </c>
    </row>
    <row r="80" spans="1:14" x14ac:dyDescent="0.25">
      <c r="A80">
        <v>77</v>
      </c>
      <c r="B80" t="s">
        <v>467</v>
      </c>
      <c r="C80" t="s">
        <v>365</v>
      </c>
      <c r="F80" s="3">
        <v>0</v>
      </c>
      <c r="G80" s="5" t="s">
        <v>613</v>
      </c>
      <c r="I80" s="8" t="s">
        <v>538</v>
      </c>
      <c r="J80" s="5" t="s">
        <v>605</v>
      </c>
      <c r="N80" s="14" t="s">
        <v>680</v>
      </c>
    </row>
    <row r="81" spans="1:14" x14ac:dyDescent="0.25">
      <c r="A81">
        <v>78</v>
      </c>
      <c r="B81" t="s">
        <v>467</v>
      </c>
      <c r="C81" t="s">
        <v>366</v>
      </c>
      <c r="F81" s="3">
        <v>0</v>
      </c>
      <c r="G81" s="5" t="s">
        <v>614</v>
      </c>
      <c r="I81" s="8" t="s">
        <v>538</v>
      </c>
      <c r="J81" s="5" t="s">
        <v>605</v>
      </c>
      <c r="N81" s="14" t="s">
        <v>680</v>
      </c>
    </row>
    <row r="82" spans="1:14" x14ac:dyDescent="0.25">
      <c r="A82">
        <v>79</v>
      </c>
      <c r="B82" t="s">
        <v>472</v>
      </c>
      <c r="C82" t="s">
        <v>376</v>
      </c>
      <c r="F82" s="3">
        <v>0</v>
      </c>
      <c r="G82" s="5" t="s">
        <v>10</v>
      </c>
      <c r="I82" s="8" t="s">
        <v>538</v>
      </c>
      <c r="J82" s="8" t="s">
        <v>624</v>
      </c>
      <c r="N82" s="14" t="s">
        <v>680</v>
      </c>
    </row>
    <row r="83" spans="1:14" x14ac:dyDescent="0.25">
      <c r="A83">
        <v>80</v>
      </c>
      <c r="B83" s="14" t="s">
        <v>516</v>
      </c>
      <c r="C83" t="s">
        <v>425</v>
      </c>
      <c r="F83" s="15" t="s">
        <v>630</v>
      </c>
      <c r="I83" s="8" t="s">
        <v>538</v>
      </c>
      <c r="J83" s="8" t="s">
        <v>631</v>
      </c>
      <c r="N83" s="14" t="s">
        <v>676</v>
      </c>
    </row>
    <row r="84" spans="1:14" x14ac:dyDescent="0.25">
      <c r="A84">
        <v>81</v>
      </c>
      <c r="B84" s="14" t="s">
        <v>628</v>
      </c>
      <c r="C84" t="s">
        <v>425</v>
      </c>
      <c r="F84" s="15" t="s">
        <v>630</v>
      </c>
      <c r="I84" s="8" t="s">
        <v>538</v>
      </c>
      <c r="J84" s="8" t="s">
        <v>631</v>
      </c>
      <c r="N84" s="14" t="s">
        <v>676</v>
      </c>
    </row>
    <row r="85" spans="1:14" x14ac:dyDescent="0.25">
      <c r="A85">
        <v>82</v>
      </c>
      <c r="B85" t="s">
        <v>535</v>
      </c>
      <c r="C85" t="s">
        <v>446</v>
      </c>
      <c r="F85" s="3">
        <v>0</v>
      </c>
      <c r="I85" s="8" t="s">
        <v>538</v>
      </c>
      <c r="J85" s="8" t="s">
        <v>631</v>
      </c>
      <c r="N85" s="14" t="s">
        <v>676</v>
      </c>
    </row>
    <row r="86" spans="1:14" x14ac:dyDescent="0.25">
      <c r="A86">
        <v>83</v>
      </c>
      <c r="B86" s="14" t="s">
        <v>535</v>
      </c>
      <c r="C86" t="s">
        <v>447</v>
      </c>
      <c r="F86" s="15" t="s">
        <v>630</v>
      </c>
      <c r="I86" s="8" t="s">
        <v>538</v>
      </c>
      <c r="J86" s="8" t="s">
        <v>631</v>
      </c>
      <c r="K86" s="18"/>
      <c r="L86" s="18"/>
      <c r="N86" s="14" t="s">
        <v>676</v>
      </c>
    </row>
    <row r="87" spans="1:14" x14ac:dyDescent="0.25">
      <c r="A87">
        <v>84</v>
      </c>
      <c r="B87" t="s">
        <v>470</v>
      </c>
      <c r="C87" t="s">
        <v>374</v>
      </c>
      <c r="F87" s="3">
        <v>1</v>
      </c>
      <c r="G87" s="5" t="s">
        <v>622</v>
      </c>
      <c r="I87" s="8" t="s">
        <v>538</v>
      </c>
      <c r="K87" s="18"/>
      <c r="L87" s="18"/>
    </row>
    <row r="88" spans="1:14" x14ac:dyDescent="0.25">
      <c r="A88">
        <v>85</v>
      </c>
      <c r="B88" s="14"/>
      <c r="I88" s="8"/>
      <c r="K88" s="18"/>
      <c r="L88" s="18"/>
    </row>
    <row r="89" spans="1:14" x14ac:dyDescent="0.25">
      <c r="A89">
        <v>86</v>
      </c>
      <c r="B89" s="18" t="s">
        <v>516</v>
      </c>
      <c r="C89" t="s">
        <v>426</v>
      </c>
      <c r="F89" s="4" t="s">
        <v>625</v>
      </c>
      <c r="G89" s="8" t="s">
        <v>636</v>
      </c>
      <c r="H89" s="8"/>
      <c r="I89" s="8" t="s">
        <v>538</v>
      </c>
      <c r="K89" s="20" t="b">
        <v>1</v>
      </c>
      <c r="L89" s="18" t="b">
        <v>0</v>
      </c>
      <c r="N89" s="14" t="s">
        <v>680</v>
      </c>
    </row>
    <row r="90" spans="1:14" x14ac:dyDescent="0.25">
      <c r="A90">
        <v>87</v>
      </c>
      <c r="B90" s="19" t="s">
        <v>628</v>
      </c>
      <c r="C90" t="s">
        <v>427</v>
      </c>
      <c r="F90" s="4" t="s">
        <v>625</v>
      </c>
      <c r="G90" s="8" t="s">
        <v>636</v>
      </c>
      <c r="H90" s="8"/>
      <c r="I90" s="8" t="s">
        <v>538</v>
      </c>
      <c r="K90" s="20" t="b">
        <v>1</v>
      </c>
      <c r="L90" s="18" t="b">
        <v>0</v>
      </c>
      <c r="N90" s="14" t="s">
        <v>680</v>
      </c>
    </row>
    <row r="91" spans="1:14" x14ac:dyDescent="0.25">
      <c r="A91">
        <v>88</v>
      </c>
      <c r="K91" s="18"/>
      <c r="L91" s="18"/>
    </row>
    <row r="92" spans="1:14" x14ac:dyDescent="0.25">
      <c r="A92">
        <v>89</v>
      </c>
      <c r="B92" t="s">
        <v>513</v>
      </c>
      <c r="D92" s="16" t="str">
        <f t="shared" ref="D92:D110" si="0">DEC2HEX(E92)</f>
        <v>140</v>
      </c>
      <c r="E92" s="16">
        <v>320</v>
      </c>
      <c r="F92" s="4">
        <v>0</v>
      </c>
      <c r="G92" s="17" t="s">
        <v>648</v>
      </c>
      <c r="H92" s="17"/>
      <c r="I92" s="8" t="s">
        <v>538</v>
      </c>
      <c r="J92" s="17" t="s">
        <v>648</v>
      </c>
      <c r="K92" s="18"/>
      <c r="L92" s="18"/>
      <c r="M92" s="17" t="s">
        <v>648</v>
      </c>
      <c r="N92" t="s">
        <v>678</v>
      </c>
    </row>
    <row r="93" spans="1:14" x14ac:dyDescent="0.25">
      <c r="A93">
        <v>90</v>
      </c>
      <c r="B93" t="s">
        <v>512</v>
      </c>
      <c r="D93" s="16" t="str">
        <f t="shared" si="0"/>
        <v>144</v>
      </c>
      <c r="E93" s="16">
        <f t="shared" ref="E93:E110" si="1">E92+4</f>
        <v>324</v>
      </c>
      <c r="F93" s="4" t="s">
        <v>625</v>
      </c>
      <c r="G93" s="8" t="s">
        <v>636</v>
      </c>
      <c r="H93" s="8" t="s">
        <v>668</v>
      </c>
      <c r="I93" s="8" t="s">
        <v>538</v>
      </c>
      <c r="J93" s="5" t="s">
        <v>655</v>
      </c>
      <c r="K93" s="20" t="b">
        <v>1</v>
      </c>
      <c r="L93" s="18" t="b">
        <v>0</v>
      </c>
      <c r="M93" s="8" t="s">
        <v>576</v>
      </c>
      <c r="N93" t="s">
        <v>678</v>
      </c>
    </row>
    <row r="94" spans="1:14" x14ac:dyDescent="0.25">
      <c r="A94">
        <v>91</v>
      </c>
      <c r="B94" s="14" t="s">
        <v>511</v>
      </c>
      <c r="D94" s="16" t="str">
        <f t="shared" si="0"/>
        <v>148</v>
      </c>
      <c r="E94" s="16">
        <f t="shared" si="1"/>
        <v>328</v>
      </c>
      <c r="F94" s="4" t="s">
        <v>625</v>
      </c>
      <c r="G94" s="8" t="s">
        <v>635</v>
      </c>
      <c r="H94" s="8" t="s">
        <v>666</v>
      </c>
      <c r="I94" s="8" t="s">
        <v>538</v>
      </c>
      <c r="J94" s="5" t="s">
        <v>653</v>
      </c>
      <c r="K94" s="20" t="b">
        <v>1</v>
      </c>
      <c r="L94" s="18" t="b">
        <v>1</v>
      </c>
      <c r="M94" s="8" t="s">
        <v>650</v>
      </c>
      <c r="N94" t="s">
        <v>678</v>
      </c>
    </row>
    <row r="95" spans="1:14" x14ac:dyDescent="0.25">
      <c r="A95">
        <v>92</v>
      </c>
      <c r="B95" t="s">
        <v>478</v>
      </c>
      <c r="D95" s="16" t="str">
        <f t="shared" si="0"/>
        <v>14C</v>
      </c>
      <c r="E95" s="16">
        <f t="shared" si="1"/>
        <v>332</v>
      </c>
      <c r="F95" s="4" t="s">
        <v>625</v>
      </c>
      <c r="G95" s="8" t="s">
        <v>635</v>
      </c>
      <c r="H95" s="8"/>
      <c r="I95" s="8" t="s">
        <v>538</v>
      </c>
      <c r="J95" s="8" t="s">
        <v>656</v>
      </c>
      <c r="K95" s="20" t="b">
        <v>1</v>
      </c>
      <c r="L95" s="18" t="b">
        <v>1</v>
      </c>
      <c r="M95" s="8" t="s">
        <v>644</v>
      </c>
      <c r="N95" t="s">
        <v>678</v>
      </c>
    </row>
    <row r="96" spans="1:14" x14ac:dyDescent="0.25">
      <c r="A96">
        <v>93</v>
      </c>
      <c r="B96" t="s">
        <v>508</v>
      </c>
      <c r="D96" s="16" t="str">
        <f t="shared" si="0"/>
        <v>150</v>
      </c>
      <c r="E96" s="16">
        <f t="shared" si="1"/>
        <v>336</v>
      </c>
      <c r="F96" s="4" t="s">
        <v>625</v>
      </c>
      <c r="G96" s="8" t="s">
        <v>635</v>
      </c>
      <c r="H96" s="8" t="s">
        <v>671</v>
      </c>
      <c r="I96" s="8" t="s">
        <v>538</v>
      </c>
      <c r="J96" s="8" t="s">
        <v>672</v>
      </c>
      <c r="K96" s="20" t="b">
        <v>1</v>
      </c>
      <c r="L96" s="18" t="b">
        <v>1</v>
      </c>
      <c r="M96" s="8" t="s">
        <v>643</v>
      </c>
      <c r="N96" t="s">
        <v>678</v>
      </c>
    </row>
    <row r="97" spans="1:14" x14ac:dyDescent="0.25">
      <c r="A97">
        <v>94</v>
      </c>
      <c r="B97" t="s">
        <v>507</v>
      </c>
      <c r="D97" s="16" t="str">
        <f t="shared" si="0"/>
        <v>154</v>
      </c>
      <c r="E97" s="16">
        <f t="shared" si="1"/>
        <v>340</v>
      </c>
      <c r="F97" s="4" t="s">
        <v>625</v>
      </c>
      <c r="G97" s="8" t="s">
        <v>636</v>
      </c>
      <c r="H97" s="8" t="s">
        <v>674</v>
      </c>
      <c r="I97" s="8" t="s">
        <v>538</v>
      </c>
      <c r="J97" s="5" t="s">
        <v>657</v>
      </c>
      <c r="K97" s="20" t="b">
        <v>1</v>
      </c>
      <c r="L97" s="18" t="b">
        <v>0</v>
      </c>
      <c r="M97" s="8" t="s">
        <v>647</v>
      </c>
      <c r="N97" t="s">
        <v>678</v>
      </c>
    </row>
    <row r="98" spans="1:14" x14ac:dyDescent="0.25">
      <c r="A98">
        <v>95</v>
      </c>
      <c r="B98" t="s">
        <v>506</v>
      </c>
      <c r="D98" s="16" t="str">
        <f t="shared" si="0"/>
        <v>158</v>
      </c>
      <c r="E98" s="16">
        <f t="shared" si="1"/>
        <v>344</v>
      </c>
      <c r="F98" s="4" t="s">
        <v>645</v>
      </c>
      <c r="G98" s="17" t="s">
        <v>648</v>
      </c>
      <c r="H98" s="17"/>
      <c r="I98" s="8" t="s">
        <v>538</v>
      </c>
      <c r="J98" s="5" t="s">
        <v>658</v>
      </c>
      <c r="K98" s="18"/>
      <c r="L98" s="18"/>
      <c r="M98" s="17" t="s">
        <v>648</v>
      </c>
      <c r="N98" t="s">
        <v>678</v>
      </c>
    </row>
    <row r="99" spans="1:14" x14ac:dyDescent="0.25">
      <c r="A99">
        <v>96</v>
      </c>
      <c r="B99" t="s">
        <v>505</v>
      </c>
      <c r="D99" s="16" t="str">
        <f t="shared" si="0"/>
        <v>15C</v>
      </c>
      <c r="E99" s="16">
        <f t="shared" si="1"/>
        <v>348</v>
      </c>
      <c r="F99" s="4" t="s">
        <v>645</v>
      </c>
      <c r="G99" s="17" t="s">
        <v>648</v>
      </c>
      <c r="H99" s="17"/>
      <c r="I99" s="8" t="s">
        <v>538</v>
      </c>
      <c r="J99" s="5" t="s">
        <v>659</v>
      </c>
      <c r="K99" s="18"/>
      <c r="L99" s="18"/>
      <c r="M99" s="17" t="s">
        <v>648</v>
      </c>
      <c r="N99" t="s">
        <v>678</v>
      </c>
    </row>
    <row r="100" spans="1:14" x14ac:dyDescent="0.25">
      <c r="A100">
        <v>97</v>
      </c>
      <c r="B100" t="s">
        <v>504</v>
      </c>
      <c r="C100" s="14"/>
      <c r="D100" s="16" t="str">
        <f t="shared" si="0"/>
        <v>160</v>
      </c>
      <c r="E100" s="16">
        <f t="shared" si="1"/>
        <v>352</v>
      </c>
      <c r="F100" s="4" t="s">
        <v>625</v>
      </c>
      <c r="G100" s="17" t="s">
        <v>648</v>
      </c>
      <c r="H100" s="8" t="s">
        <v>673</v>
      </c>
      <c r="I100" s="8" t="s">
        <v>538</v>
      </c>
      <c r="J100" s="14" t="s">
        <v>672</v>
      </c>
      <c r="K100" s="20" t="b">
        <v>1</v>
      </c>
      <c r="L100" s="18" t="b">
        <v>0</v>
      </c>
      <c r="M100" s="17" t="s">
        <v>648</v>
      </c>
      <c r="N100" t="s">
        <v>678</v>
      </c>
    </row>
    <row r="101" spans="1:14" x14ac:dyDescent="0.25">
      <c r="A101">
        <v>98</v>
      </c>
      <c r="B101" t="s">
        <v>503</v>
      </c>
      <c r="D101" s="16" t="str">
        <f t="shared" si="0"/>
        <v>164</v>
      </c>
      <c r="E101" s="16">
        <f t="shared" si="1"/>
        <v>356</v>
      </c>
      <c r="F101" s="4" t="s">
        <v>625</v>
      </c>
      <c r="G101" s="8" t="s">
        <v>636</v>
      </c>
      <c r="H101" s="8" t="s">
        <v>667</v>
      </c>
      <c r="I101" s="8" t="s">
        <v>538</v>
      </c>
      <c r="J101" s="5" t="s">
        <v>654</v>
      </c>
      <c r="K101" s="20" t="b">
        <v>1</v>
      </c>
      <c r="L101" s="18" t="b">
        <v>0</v>
      </c>
      <c r="M101" s="8" t="s">
        <v>649</v>
      </c>
      <c r="N101" t="s">
        <v>678</v>
      </c>
    </row>
    <row r="102" spans="1:14" x14ac:dyDescent="0.25">
      <c r="A102">
        <v>99</v>
      </c>
      <c r="B102" t="s">
        <v>502</v>
      </c>
      <c r="D102" s="16" t="str">
        <f t="shared" si="0"/>
        <v>168</v>
      </c>
      <c r="E102" s="16">
        <f t="shared" si="1"/>
        <v>360</v>
      </c>
      <c r="F102" s="4" t="s">
        <v>646</v>
      </c>
      <c r="G102" s="17" t="s">
        <v>648</v>
      </c>
      <c r="H102" s="17"/>
      <c r="I102" s="8" t="s">
        <v>538</v>
      </c>
      <c r="J102" s="5" t="s">
        <v>660</v>
      </c>
      <c r="K102" s="18"/>
      <c r="L102" s="18"/>
      <c r="M102" s="17" t="s">
        <v>648</v>
      </c>
      <c r="N102" t="s">
        <v>678</v>
      </c>
    </row>
    <row r="103" spans="1:14" x14ac:dyDescent="0.25">
      <c r="A103">
        <v>100</v>
      </c>
      <c r="B103" t="s">
        <v>501</v>
      </c>
      <c r="D103" s="16" t="str">
        <f t="shared" si="0"/>
        <v>16C</v>
      </c>
      <c r="E103" s="16">
        <f t="shared" si="1"/>
        <v>364</v>
      </c>
      <c r="F103" s="4" t="s">
        <v>646</v>
      </c>
      <c r="G103" s="17" t="s">
        <v>648</v>
      </c>
      <c r="H103" s="17"/>
      <c r="I103" s="8" t="s">
        <v>538</v>
      </c>
      <c r="J103" s="5" t="s">
        <v>661</v>
      </c>
      <c r="K103" s="18"/>
      <c r="L103" s="18"/>
      <c r="M103" s="17" t="s">
        <v>648</v>
      </c>
      <c r="N103" t="s">
        <v>678</v>
      </c>
    </row>
    <row r="104" spans="1:14" x14ac:dyDescent="0.25">
      <c r="A104">
        <v>101</v>
      </c>
      <c r="B104" t="s">
        <v>500</v>
      </c>
      <c r="D104" s="16" t="str">
        <f t="shared" si="0"/>
        <v>170</v>
      </c>
      <c r="E104" s="16">
        <f t="shared" si="1"/>
        <v>368</v>
      </c>
      <c r="F104" s="4">
        <v>0</v>
      </c>
      <c r="G104" s="17" t="s">
        <v>648</v>
      </c>
      <c r="H104" s="17"/>
      <c r="I104" s="8" t="s">
        <v>538</v>
      </c>
      <c r="J104" s="17" t="s">
        <v>648</v>
      </c>
      <c r="K104" s="18"/>
      <c r="L104" s="18"/>
      <c r="M104" s="17" t="s">
        <v>648</v>
      </c>
      <c r="N104" t="s">
        <v>678</v>
      </c>
    </row>
    <row r="105" spans="1:14" x14ac:dyDescent="0.25">
      <c r="A105">
        <v>102</v>
      </c>
      <c r="B105" s="18" t="s">
        <v>499</v>
      </c>
      <c r="D105" s="16" t="str">
        <f t="shared" si="0"/>
        <v>174</v>
      </c>
      <c r="E105" s="16">
        <f t="shared" si="1"/>
        <v>372</v>
      </c>
      <c r="F105" s="4">
        <v>0</v>
      </c>
      <c r="G105" s="17" t="s">
        <v>648</v>
      </c>
      <c r="H105" s="17"/>
      <c r="I105" s="8" t="s">
        <v>538</v>
      </c>
      <c r="J105" s="17" t="s">
        <v>648</v>
      </c>
      <c r="K105" s="18"/>
      <c r="L105" s="18"/>
      <c r="M105" s="17" t="s">
        <v>648</v>
      </c>
      <c r="N105" t="s">
        <v>678</v>
      </c>
    </row>
    <row r="106" spans="1:14" x14ac:dyDescent="0.25">
      <c r="A106">
        <v>103</v>
      </c>
      <c r="B106" s="18" t="s">
        <v>498</v>
      </c>
      <c r="D106" s="16" t="str">
        <f t="shared" si="0"/>
        <v>178</v>
      </c>
      <c r="E106" s="16">
        <f t="shared" si="1"/>
        <v>376</v>
      </c>
      <c r="F106" s="4" t="s">
        <v>642</v>
      </c>
      <c r="G106" s="17" t="s">
        <v>648</v>
      </c>
      <c r="H106" s="17"/>
      <c r="I106" s="8" t="s">
        <v>538</v>
      </c>
      <c r="J106" s="5" t="s">
        <v>662</v>
      </c>
      <c r="K106" s="18"/>
      <c r="L106" s="18"/>
      <c r="M106" s="17" t="s">
        <v>648</v>
      </c>
      <c r="N106" t="s">
        <v>678</v>
      </c>
    </row>
    <row r="107" spans="1:14" x14ac:dyDescent="0.25">
      <c r="A107">
        <v>104</v>
      </c>
      <c r="B107" s="18" t="s">
        <v>497</v>
      </c>
      <c r="D107" s="16" t="str">
        <f t="shared" si="0"/>
        <v>17C</v>
      </c>
      <c r="E107" s="16">
        <f t="shared" si="1"/>
        <v>380</v>
      </c>
      <c r="F107" s="4" t="s">
        <v>642</v>
      </c>
      <c r="G107" s="17" t="s">
        <v>648</v>
      </c>
      <c r="H107" s="17"/>
      <c r="I107" s="8" t="s">
        <v>538</v>
      </c>
      <c r="J107" s="5" t="s">
        <v>663</v>
      </c>
      <c r="K107" s="18"/>
      <c r="L107" s="18"/>
      <c r="M107" s="17" t="s">
        <v>648</v>
      </c>
      <c r="N107" t="s">
        <v>678</v>
      </c>
    </row>
    <row r="108" spans="1:14" x14ac:dyDescent="0.25">
      <c r="A108">
        <v>105</v>
      </c>
      <c r="B108" s="18" t="s">
        <v>522</v>
      </c>
      <c r="D108" s="16" t="str">
        <f t="shared" si="0"/>
        <v>180</v>
      </c>
      <c r="E108" s="16">
        <f t="shared" si="1"/>
        <v>384</v>
      </c>
      <c r="F108" s="4" t="s">
        <v>625</v>
      </c>
      <c r="G108" s="14" t="s">
        <v>635</v>
      </c>
      <c r="H108" s="14"/>
      <c r="I108" s="8" t="s">
        <v>538</v>
      </c>
      <c r="J108" s="17" t="s">
        <v>648</v>
      </c>
      <c r="K108" s="20" t="b">
        <v>1</v>
      </c>
      <c r="L108" s="18" t="b">
        <v>1</v>
      </c>
      <c r="M108" s="8" t="s">
        <v>637</v>
      </c>
      <c r="N108" t="s">
        <v>678</v>
      </c>
    </row>
    <row r="109" spans="1:14" x14ac:dyDescent="0.25">
      <c r="A109">
        <v>106</v>
      </c>
      <c r="B109" s="18" t="s">
        <v>521</v>
      </c>
      <c r="D109" s="16" t="str">
        <f t="shared" si="0"/>
        <v>184</v>
      </c>
      <c r="E109" s="16">
        <f t="shared" si="1"/>
        <v>388</v>
      </c>
      <c r="F109" s="4" t="s">
        <v>625</v>
      </c>
      <c r="G109" s="14" t="s">
        <v>635</v>
      </c>
      <c r="H109" s="14"/>
      <c r="I109" s="8" t="s">
        <v>538</v>
      </c>
      <c r="J109" s="17" t="s">
        <v>648</v>
      </c>
      <c r="K109" s="20" t="b">
        <v>1</v>
      </c>
      <c r="L109" s="18" t="b">
        <v>1</v>
      </c>
      <c r="M109" s="14" t="s">
        <v>638</v>
      </c>
      <c r="N109" t="s">
        <v>678</v>
      </c>
    </row>
    <row r="110" spans="1:14" x14ac:dyDescent="0.25">
      <c r="A110">
        <v>107</v>
      </c>
      <c r="B110" s="18" t="s">
        <v>520</v>
      </c>
      <c r="D110" s="16" t="str">
        <f t="shared" si="0"/>
        <v>188</v>
      </c>
      <c r="E110" s="16">
        <f t="shared" si="1"/>
        <v>392</v>
      </c>
      <c r="F110" s="4" t="s">
        <v>625</v>
      </c>
      <c r="G110" s="14" t="s">
        <v>635</v>
      </c>
      <c r="H110" s="14"/>
      <c r="I110" s="8" t="s">
        <v>538</v>
      </c>
      <c r="J110" s="17" t="s">
        <v>648</v>
      </c>
      <c r="K110" s="20" t="b">
        <v>1</v>
      </c>
      <c r="L110" s="18" t="b">
        <v>1</v>
      </c>
      <c r="M110" s="14" t="s">
        <v>639</v>
      </c>
      <c r="N110" t="s">
        <v>678</v>
      </c>
    </row>
    <row r="111" spans="1:14" x14ac:dyDescent="0.25">
      <c r="A111">
        <v>108</v>
      </c>
      <c r="B111" s="18"/>
      <c r="D111" s="16"/>
      <c r="E111" s="16"/>
      <c r="F111" s="4"/>
      <c r="G111" s="8"/>
      <c r="H111" s="8"/>
      <c r="I111" s="8"/>
      <c r="J111" s="8"/>
      <c r="K111" s="18"/>
      <c r="L111" s="18"/>
    </row>
    <row r="112" spans="1:14" x14ac:dyDescent="0.25">
      <c r="A112">
        <v>109</v>
      </c>
      <c r="B112" s="19" t="s">
        <v>477</v>
      </c>
      <c r="D112" s="16" t="str">
        <f t="shared" ref="D112:D129" si="2">DEC2HEX(E112)</f>
        <v>58</v>
      </c>
      <c r="E112" s="16">
        <f>HEX2DEC(58)</f>
        <v>88</v>
      </c>
      <c r="F112" s="4" t="s">
        <v>626</v>
      </c>
      <c r="G112" s="8" t="s">
        <v>635</v>
      </c>
      <c r="H112" s="8"/>
      <c r="I112" s="8" t="s">
        <v>538</v>
      </c>
      <c r="J112" s="8" t="s">
        <v>644</v>
      </c>
      <c r="K112" s="18"/>
      <c r="L112" s="18"/>
      <c r="N112" t="s">
        <v>677</v>
      </c>
    </row>
    <row r="113" spans="1:14" x14ac:dyDescent="0.25">
      <c r="A113">
        <v>110</v>
      </c>
      <c r="B113" s="19" t="s">
        <v>509</v>
      </c>
      <c r="D113" s="16" t="str">
        <f t="shared" si="2"/>
        <v>5C</v>
      </c>
      <c r="E113" s="16">
        <f>HEX2DEC("5c")</f>
        <v>92</v>
      </c>
      <c r="F113" s="4" t="s">
        <v>626</v>
      </c>
      <c r="G113" s="8" t="s">
        <v>651</v>
      </c>
      <c r="H113" s="8"/>
      <c r="I113" s="8" t="s">
        <v>538</v>
      </c>
      <c r="J113" s="8" t="s">
        <v>652</v>
      </c>
      <c r="K113" s="18"/>
      <c r="L113" s="18"/>
      <c r="N113" t="s">
        <v>677</v>
      </c>
    </row>
    <row r="114" spans="1:14" x14ac:dyDescent="0.25">
      <c r="A114">
        <v>111</v>
      </c>
      <c r="B114" s="18" t="s">
        <v>510</v>
      </c>
      <c r="D114" s="16" t="str">
        <f t="shared" si="2"/>
        <v>60</v>
      </c>
      <c r="E114" s="16">
        <f>HEX2DEC("60")</f>
        <v>96</v>
      </c>
      <c r="F114" s="4" t="s">
        <v>626</v>
      </c>
      <c r="G114" s="17" t="s">
        <v>648</v>
      </c>
      <c r="H114" s="17"/>
      <c r="I114" s="8" t="s">
        <v>538</v>
      </c>
      <c r="J114" s="17" t="s">
        <v>648</v>
      </c>
      <c r="K114" s="18"/>
      <c r="L114" s="18"/>
      <c r="N114" t="s">
        <v>677</v>
      </c>
    </row>
    <row r="115" spans="1:14" x14ac:dyDescent="0.25">
      <c r="A115">
        <v>112</v>
      </c>
      <c r="B115" s="18" t="s">
        <v>485</v>
      </c>
      <c r="D115" s="16" t="str">
        <f t="shared" si="2"/>
        <v>80</v>
      </c>
      <c r="E115" s="16">
        <f>HEX2DEC(80)</f>
        <v>128</v>
      </c>
      <c r="F115" s="4" t="s">
        <v>626</v>
      </c>
      <c r="G115" s="17" t="s">
        <v>648</v>
      </c>
      <c r="H115" s="17"/>
      <c r="I115" s="8" t="s">
        <v>538</v>
      </c>
      <c r="J115" s="17" t="s">
        <v>648</v>
      </c>
      <c r="N115" t="s">
        <v>677</v>
      </c>
    </row>
    <row r="116" spans="1:14" x14ac:dyDescent="0.25">
      <c r="A116">
        <v>113</v>
      </c>
      <c r="B116" s="18" t="s">
        <v>486</v>
      </c>
      <c r="D116" s="16" t="str">
        <f t="shared" si="2"/>
        <v>84</v>
      </c>
      <c r="E116" s="16">
        <f>HEX2DEC(84)</f>
        <v>132</v>
      </c>
      <c r="F116" s="4" t="s">
        <v>626</v>
      </c>
      <c r="G116" s="17" t="s">
        <v>648</v>
      </c>
      <c r="H116" s="17"/>
      <c r="I116" s="8" t="s">
        <v>538</v>
      </c>
      <c r="J116" s="17" t="s">
        <v>648</v>
      </c>
      <c r="N116" t="s">
        <v>677</v>
      </c>
    </row>
    <row r="117" spans="1:14" x14ac:dyDescent="0.25">
      <c r="A117">
        <v>114</v>
      </c>
      <c r="B117" s="18" t="s">
        <v>489</v>
      </c>
      <c r="D117" s="16" t="str">
        <f t="shared" si="2"/>
        <v>88</v>
      </c>
      <c r="E117" s="16">
        <f>HEX2DEC(88)</f>
        <v>136</v>
      </c>
      <c r="F117" s="4" t="s">
        <v>626</v>
      </c>
      <c r="G117" s="17" t="s">
        <v>648</v>
      </c>
      <c r="H117" s="17"/>
      <c r="I117" s="8" t="s">
        <v>538</v>
      </c>
      <c r="J117" s="17" t="s">
        <v>648</v>
      </c>
      <c r="N117" t="s">
        <v>677</v>
      </c>
    </row>
    <row r="118" spans="1:14" x14ac:dyDescent="0.25">
      <c r="A118">
        <v>115</v>
      </c>
      <c r="B118" s="18" t="s">
        <v>490</v>
      </c>
      <c r="D118" s="16" t="str">
        <f t="shared" si="2"/>
        <v>8C</v>
      </c>
      <c r="E118" s="16">
        <f>HEX2DEC("8C")</f>
        <v>140</v>
      </c>
      <c r="F118" s="4" t="s">
        <v>626</v>
      </c>
      <c r="G118" s="17" t="s">
        <v>648</v>
      </c>
      <c r="H118" s="17"/>
      <c r="I118" s="8" t="s">
        <v>538</v>
      </c>
      <c r="J118" s="17" t="s">
        <v>648</v>
      </c>
      <c r="N118" t="s">
        <v>677</v>
      </c>
    </row>
    <row r="119" spans="1:14" x14ac:dyDescent="0.25">
      <c r="A119">
        <v>116</v>
      </c>
      <c r="B119" s="18" t="s">
        <v>493</v>
      </c>
      <c r="D119" s="16" t="str">
        <f t="shared" si="2"/>
        <v>90</v>
      </c>
      <c r="E119" s="16">
        <f>HEX2DEC("90")</f>
        <v>144</v>
      </c>
      <c r="F119" s="4" t="s">
        <v>626</v>
      </c>
      <c r="G119" s="17" t="s">
        <v>648</v>
      </c>
      <c r="H119" s="17"/>
      <c r="I119" s="8" t="s">
        <v>538</v>
      </c>
      <c r="J119" s="17" t="s">
        <v>648</v>
      </c>
      <c r="N119" t="s">
        <v>677</v>
      </c>
    </row>
    <row r="120" spans="1:14" x14ac:dyDescent="0.25">
      <c r="A120">
        <v>117</v>
      </c>
      <c r="B120" s="18" t="s">
        <v>494</v>
      </c>
      <c r="D120" s="16" t="str">
        <f t="shared" si="2"/>
        <v>94</v>
      </c>
      <c r="E120" s="16">
        <f>HEX2DEC("94")</f>
        <v>148</v>
      </c>
      <c r="F120" s="4" t="s">
        <v>626</v>
      </c>
      <c r="G120" s="17" t="s">
        <v>648</v>
      </c>
      <c r="H120" s="17"/>
      <c r="I120" s="8" t="s">
        <v>538</v>
      </c>
      <c r="J120" s="17" t="s">
        <v>648</v>
      </c>
      <c r="N120" t="s">
        <v>677</v>
      </c>
    </row>
    <row r="121" spans="1:14" x14ac:dyDescent="0.25">
      <c r="A121">
        <v>118</v>
      </c>
      <c r="B121" s="18" t="s">
        <v>487</v>
      </c>
      <c r="D121" s="16" t="str">
        <f t="shared" si="2"/>
        <v>98</v>
      </c>
      <c r="E121" s="16">
        <f>HEX2DEC(98)</f>
        <v>152</v>
      </c>
      <c r="F121" s="4" t="s">
        <v>626</v>
      </c>
      <c r="G121" s="17" t="s">
        <v>648</v>
      </c>
      <c r="H121" s="17"/>
      <c r="I121" s="8" t="s">
        <v>538</v>
      </c>
      <c r="J121" s="17" t="s">
        <v>648</v>
      </c>
      <c r="N121" t="s">
        <v>677</v>
      </c>
    </row>
    <row r="122" spans="1:14" x14ac:dyDescent="0.25">
      <c r="A122">
        <v>119</v>
      </c>
      <c r="B122" s="18" t="s">
        <v>488</v>
      </c>
      <c r="D122" s="16" t="str">
        <f t="shared" si="2"/>
        <v>9C</v>
      </c>
      <c r="E122" s="16">
        <f>HEX2DEC("9C")</f>
        <v>156</v>
      </c>
      <c r="F122" s="4" t="s">
        <v>626</v>
      </c>
      <c r="G122" s="17" t="s">
        <v>648</v>
      </c>
      <c r="H122" s="17"/>
      <c r="I122" s="8" t="s">
        <v>538</v>
      </c>
      <c r="J122" s="17" t="s">
        <v>648</v>
      </c>
      <c r="N122" t="s">
        <v>677</v>
      </c>
    </row>
    <row r="123" spans="1:14" x14ac:dyDescent="0.25">
      <c r="A123">
        <v>120</v>
      </c>
      <c r="B123" s="19" t="s">
        <v>491</v>
      </c>
      <c r="D123" s="16" t="str">
        <f t="shared" si="2"/>
        <v>A0</v>
      </c>
      <c r="E123" s="16">
        <f>HEX2DEC("a0")</f>
        <v>160</v>
      </c>
      <c r="F123" s="4" t="s">
        <v>626</v>
      </c>
      <c r="G123" s="8" t="s">
        <v>636</v>
      </c>
      <c r="H123" s="8"/>
      <c r="I123" s="8" t="s">
        <v>538</v>
      </c>
      <c r="J123" s="8" t="s">
        <v>649</v>
      </c>
      <c r="N123" t="s">
        <v>677</v>
      </c>
    </row>
    <row r="124" spans="1:14" x14ac:dyDescent="0.25">
      <c r="A124">
        <v>121</v>
      </c>
      <c r="B124" s="18" t="s">
        <v>492</v>
      </c>
      <c r="D124" s="16" t="str">
        <f t="shared" si="2"/>
        <v>A4</v>
      </c>
      <c r="E124" s="16">
        <f>HEX2DEC("a4")</f>
        <v>164</v>
      </c>
      <c r="F124" s="4" t="s">
        <v>626</v>
      </c>
      <c r="G124" s="17" t="s">
        <v>648</v>
      </c>
      <c r="H124" s="17"/>
      <c r="I124" s="8" t="s">
        <v>538</v>
      </c>
      <c r="J124" s="17" t="s">
        <v>648</v>
      </c>
      <c r="N124" t="s">
        <v>677</v>
      </c>
    </row>
    <row r="125" spans="1:14" x14ac:dyDescent="0.25">
      <c r="A125">
        <v>122</v>
      </c>
      <c r="B125" s="18" t="s">
        <v>495</v>
      </c>
      <c r="D125" s="16" t="str">
        <f t="shared" si="2"/>
        <v>A8</v>
      </c>
      <c r="E125" s="16">
        <f>HEX2DEC("a8")</f>
        <v>168</v>
      </c>
      <c r="F125" s="4" t="s">
        <v>626</v>
      </c>
      <c r="G125" s="8" t="s">
        <v>636</v>
      </c>
      <c r="H125" s="8"/>
      <c r="I125" s="8" t="s">
        <v>538</v>
      </c>
      <c r="J125" s="8" t="s">
        <v>647</v>
      </c>
      <c r="N125" t="s">
        <v>677</v>
      </c>
    </row>
    <row r="126" spans="1:14" x14ac:dyDescent="0.25">
      <c r="A126">
        <v>123</v>
      </c>
      <c r="B126" s="18" t="s">
        <v>496</v>
      </c>
      <c r="D126" s="16" t="str">
        <f t="shared" si="2"/>
        <v>AC</v>
      </c>
      <c r="E126" s="16">
        <f>HEX2DEC("ac")</f>
        <v>172</v>
      </c>
      <c r="F126" s="4" t="s">
        <v>626</v>
      </c>
      <c r="G126" s="8" t="s">
        <v>635</v>
      </c>
      <c r="H126" s="8"/>
      <c r="I126" s="8" t="s">
        <v>538</v>
      </c>
      <c r="J126" s="8" t="s">
        <v>643</v>
      </c>
      <c r="N126" t="s">
        <v>677</v>
      </c>
    </row>
    <row r="127" spans="1:14" x14ac:dyDescent="0.25">
      <c r="A127">
        <v>124</v>
      </c>
      <c r="B127" s="19" t="s">
        <v>517</v>
      </c>
      <c r="D127" s="16" t="str">
        <f t="shared" si="2"/>
        <v>B0</v>
      </c>
      <c r="E127" s="16">
        <f>HEX2DEC("B0")</f>
        <v>176</v>
      </c>
      <c r="F127" s="4" t="s">
        <v>626</v>
      </c>
      <c r="G127" s="14" t="s">
        <v>635</v>
      </c>
      <c r="H127" s="14"/>
      <c r="I127" s="8" t="s">
        <v>538</v>
      </c>
      <c r="J127" s="14" t="s">
        <v>639</v>
      </c>
      <c r="N127" t="s">
        <v>677</v>
      </c>
    </row>
    <row r="128" spans="1:14" x14ac:dyDescent="0.25">
      <c r="A128">
        <v>125</v>
      </c>
      <c r="B128" s="18" t="s">
        <v>518</v>
      </c>
      <c r="D128" s="16" t="str">
        <f t="shared" si="2"/>
        <v>B4</v>
      </c>
      <c r="E128" s="16">
        <f>HEX2DEC("B4")</f>
        <v>180</v>
      </c>
      <c r="F128" s="4" t="s">
        <v>626</v>
      </c>
      <c r="G128" s="14" t="s">
        <v>635</v>
      </c>
      <c r="H128" s="14"/>
      <c r="I128" s="8" t="s">
        <v>538</v>
      </c>
      <c r="J128" s="14" t="s">
        <v>638</v>
      </c>
      <c r="N128" t="s">
        <v>677</v>
      </c>
    </row>
    <row r="129" spans="1:14" x14ac:dyDescent="0.25">
      <c r="A129">
        <v>126</v>
      </c>
      <c r="B129" s="18" t="s">
        <v>519</v>
      </c>
      <c r="D129" s="16" t="str">
        <f t="shared" si="2"/>
        <v>B8</v>
      </c>
      <c r="E129" s="16">
        <f>HEX2DEC("B8")</f>
        <v>184</v>
      </c>
      <c r="F129" s="4" t="s">
        <v>626</v>
      </c>
      <c r="G129" s="14" t="s">
        <v>635</v>
      </c>
      <c r="H129" s="14"/>
      <c r="I129" s="8" t="s">
        <v>538</v>
      </c>
      <c r="J129" s="8" t="s">
        <v>637</v>
      </c>
      <c r="N129" t="s">
        <v>677</v>
      </c>
    </row>
    <row r="130" spans="1:14" x14ac:dyDescent="0.25">
      <c r="A130">
        <v>127</v>
      </c>
      <c r="B130" s="18"/>
    </row>
    <row r="131" spans="1:14" x14ac:dyDescent="0.25">
      <c r="A131">
        <v>128</v>
      </c>
      <c r="B131" s="14" t="s">
        <v>479</v>
      </c>
      <c r="F131" s="4" t="s">
        <v>626</v>
      </c>
      <c r="I131" s="8" t="s">
        <v>538</v>
      </c>
      <c r="J131" s="8"/>
      <c r="N131" t="s">
        <v>677</v>
      </c>
    </row>
    <row r="132" spans="1:14" x14ac:dyDescent="0.25">
      <c r="A132">
        <v>129</v>
      </c>
      <c r="B132" t="s">
        <v>480</v>
      </c>
      <c r="F132" s="4" t="s">
        <v>626</v>
      </c>
      <c r="G132" s="8"/>
      <c r="H132" s="8"/>
      <c r="I132" s="8" t="s">
        <v>538</v>
      </c>
      <c r="J132" s="8"/>
      <c r="N132" t="s">
        <v>677</v>
      </c>
    </row>
    <row r="133" spans="1:14" x14ac:dyDescent="0.25">
      <c r="A133">
        <v>130</v>
      </c>
      <c r="B133" t="s">
        <v>481</v>
      </c>
      <c r="F133" s="4" t="s">
        <v>626</v>
      </c>
      <c r="I133" s="8" t="s">
        <v>538</v>
      </c>
      <c r="J133" s="8"/>
      <c r="N133" t="s">
        <v>677</v>
      </c>
    </row>
    <row r="134" spans="1:14" x14ac:dyDescent="0.25">
      <c r="A134">
        <v>131</v>
      </c>
      <c r="B134" t="s">
        <v>482</v>
      </c>
      <c r="F134" s="4" t="s">
        <v>626</v>
      </c>
      <c r="I134" s="8" t="s">
        <v>538</v>
      </c>
      <c r="J134" s="8"/>
      <c r="N134" t="s">
        <v>677</v>
      </c>
    </row>
    <row r="135" spans="1:14" x14ac:dyDescent="0.25">
      <c r="A135">
        <v>132</v>
      </c>
      <c r="B135" t="s">
        <v>483</v>
      </c>
      <c r="F135" s="4" t="s">
        <v>626</v>
      </c>
      <c r="I135" s="8" t="s">
        <v>538</v>
      </c>
      <c r="J135" s="8"/>
      <c r="N135" t="s">
        <v>677</v>
      </c>
    </row>
    <row r="136" spans="1:14" x14ac:dyDescent="0.25">
      <c r="A136">
        <v>133</v>
      </c>
      <c r="B136" s="14" t="s">
        <v>484</v>
      </c>
      <c r="F136" s="4" t="s">
        <v>626</v>
      </c>
      <c r="G136" s="8"/>
      <c r="H136" s="8"/>
      <c r="I136" s="8" t="s">
        <v>538</v>
      </c>
      <c r="J136" s="8"/>
      <c r="N136" t="s">
        <v>677</v>
      </c>
    </row>
    <row r="137" spans="1:14" x14ac:dyDescent="0.25">
      <c r="A137">
        <v>134</v>
      </c>
    </row>
    <row r="138" spans="1:14" x14ac:dyDescent="0.25">
      <c r="A138">
        <v>135</v>
      </c>
      <c r="B138" t="s">
        <v>473</v>
      </c>
      <c r="F138" s="4" t="s">
        <v>629</v>
      </c>
      <c r="I138" s="8" t="s">
        <v>538</v>
      </c>
      <c r="N138" t="s">
        <v>677</v>
      </c>
    </row>
    <row r="139" spans="1:14" x14ac:dyDescent="0.25">
      <c r="A139">
        <v>136</v>
      </c>
      <c r="B139" t="s">
        <v>474</v>
      </c>
      <c r="F139" s="4" t="s">
        <v>629</v>
      </c>
      <c r="I139" s="8" t="s">
        <v>538</v>
      </c>
      <c r="N139" t="s">
        <v>677</v>
      </c>
    </row>
    <row r="140" spans="1:14" x14ac:dyDescent="0.25">
      <c r="A140">
        <v>137</v>
      </c>
      <c r="B140" t="s">
        <v>475</v>
      </c>
      <c r="F140" s="4" t="s">
        <v>629</v>
      </c>
      <c r="I140" s="8" t="s">
        <v>538</v>
      </c>
      <c r="N140" t="s">
        <v>677</v>
      </c>
    </row>
    <row r="141" spans="1:14" x14ac:dyDescent="0.25">
      <c r="A141">
        <v>138</v>
      </c>
      <c r="B141" t="s">
        <v>476</v>
      </c>
      <c r="F141" s="4" t="s">
        <v>629</v>
      </c>
      <c r="I141" s="8" t="s">
        <v>538</v>
      </c>
      <c r="N141" t="s">
        <v>677</v>
      </c>
    </row>
    <row r="142" spans="1:14" x14ac:dyDescent="0.25">
      <c r="A142">
        <v>139</v>
      </c>
      <c r="B142" t="s">
        <v>464</v>
      </c>
      <c r="C142" t="s">
        <v>346</v>
      </c>
      <c r="F142" s="4" t="s">
        <v>629</v>
      </c>
      <c r="I142" s="8" t="s">
        <v>538</v>
      </c>
    </row>
    <row r="143" spans="1:14" x14ac:dyDescent="0.25">
      <c r="A143">
        <v>140</v>
      </c>
      <c r="B143" t="s">
        <v>464</v>
      </c>
      <c r="C143" t="s">
        <v>345</v>
      </c>
      <c r="F143" s="4" t="s">
        <v>629</v>
      </c>
      <c r="I143" s="8" t="s">
        <v>538</v>
      </c>
    </row>
    <row r="144" spans="1:14" x14ac:dyDescent="0.25">
      <c r="A144">
        <v>141</v>
      </c>
      <c r="B144" t="s">
        <v>464</v>
      </c>
      <c r="C144" t="s">
        <v>344</v>
      </c>
      <c r="F144" s="4" t="s">
        <v>629</v>
      </c>
      <c r="I144" s="8" t="s">
        <v>538</v>
      </c>
    </row>
    <row r="145" spans="1:10" x14ac:dyDescent="0.25">
      <c r="A145">
        <v>142</v>
      </c>
      <c r="B145" t="s">
        <v>464</v>
      </c>
      <c r="C145" t="s">
        <v>343</v>
      </c>
      <c r="F145" s="4" t="s">
        <v>629</v>
      </c>
      <c r="I145" s="8" t="s">
        <v>538</v>
      </c>
    </row>
    <row r="146" spans="1:10" x14ac:dyDescent="0.25">
      <c r="A146">
        <v>143</v>
      </c>
      <c r="B146" t="s">
        <v>465</v>
      </c>
      <c r="C146" t="s">
        <v>348</v>
      </c>
      <c r="F146" s="4" t="s">
        <v>629</v>
      </c>
      <c r="I146" s="8" t="s">
        <v>538</v>
      </c>
    </row>
    <row r="147" spans="1:10" x14ac:dyDescent="0.25">
      <c r="A147">
        <v>144</v>
      </c>
      <c r="B147" t="s">
        <v>465</v>
      </c>
      <c r="C147" t="s">
        <v>347</v>
      </c>
      <c r="F147" s="4" t="s">
        <v>629</v>
      </c>
      <c r="I147" s="8" t="s">
        <v>538</v>
      </c>
    </row>
    <row r="148" spans="1:10" x14ac:dyDescent="0.25">
      <c r="A148">
        <v>145</v>
      </c>
      <c r="B148" t="s">
        <v>466</v>
      </c>
      <c r="C148" t="s">
        <v>349</v>
      </c>
      <c r="F148" s="4" t="s">
        <v>629</v>
      </c>
      <c r="I148" s="8" t="s">
        <v>538</v>
      </c>
    </row>
    <row r="149" spans="1:10" x14ac:dyDescent="0.25">
      <c r="A149">
        <v>146</v>
      </c>
      <c r="B149" t="s">
        <v>466</v>
      </c>
      <c r="C149" t="s">
        <v>350</v>
      </c>
      <c r="F149" s="4" t="s">
        <v>629</v>
      </c>
      <c r="I149" s="8" t="s">
        <v>538</v>
      </c>
    </row>
    <row r="150" spans="1:10" x14ac:dyDescent="0.25">
      <c r="A150">
        <v>147</v>
      </c>
      <c r="B150" t="s">
        <v>466</v>
      </c>
      <c r="C150" t="s">
        <v>351</v>
      </c>
      <c r="F150" s="4" t="s">
        <v>629</v>
      </c>
      <c r="I150" s="8" t="s">
        <v>538</v>
      </c>
    </row>
    <row r="151" spans="1:10" x14ac:dyDescent="0.25">
      <c r="A151">
        <v>148</v>
      </c>
      <c r="B151" t="s">
        <v>466</v>
      </c>
      <c r="C151" t="s">
        <v>352</v>
      </c>
      <c r="F151" s="4" t="s">
        <v>629</v>
      </c>
      <c r="I151" s="8" t="s">
        <v>538</v>
      </c>
    </row>
    <row r="152" spans="1:10" x14ac:dyDescent="0.25">
      <c r="A152">
        <v>149</v>
      </c>
      <c r="B152" t="s">
        <v>466</v>
      </c>
      <c r="C152" t="s">
        <v>353</v>
      </c>
      <c r="F152" s="4" t="s">
        <v>629</v>
      </c>
      <c r="I152" s="8" t="s">
        <v>538</v>
      </c>
    </row>
    <row r="153" spans="1:10" x14ac:dyDescent="0.25">
      <c r="A153">
        <v>150</v>
      </c>
      <c r="B153" t="s">
        <v>466</v>
      </c>
      <c r="C153" t="s">
        <v>354</v>
      </c>
      <c r="F153" s="4" t="s">
        <v>629</v>
      </c>
      <c r="I153" s="8" t="s">
        <v>538</v>
      </c>
    </row>
    <row r="154" spans="1:10" x14ac:dyDescent="0.25">
      <c r="A154">
        <v>151</v>
      </c>
      <c r="B154" t="s">
        <v>466</v>
      </c>
      <c r="C154" t="s">
        <v>355</v>
      </c>
      <c r="F154" s="4" t="s">
        <v>629</v>
      </c>
      <c r="I154" s="8" t="s">
        <v>538</v>
      </c>
    </row>
    <row r="155" spans="1:10" x14ac:dyDescent="0.25">
      <c r="A155">
        <v>152</v>
      </c>
      <c r="B155" t="s">
        <v>466</v>
      </c>
      <c r="C155" t="s">
        <v>356</v>
      </c>
      <c r="F155" s="4" t="s">
        <v>629</v>
      </c>
      <c r="I155" s="8" t="s">
        <v>538</v>
      </c>
    </row>
    <row r="156" spans="1:10" x14ac:dyDescent="0.25">
      <c r="A156">
        <v>153</v>
      </c>
      <c r="B156" t="s">
        <v>466</v>
      </c>
      <c r="C156" t="s">
        <v>357</v>
      </c>
      <c r="F156" s="4" t="s">
        <v>629</v>
      </c>
      <c r="I156" s="8" t="s">
        <v>538</v>
      </c>
    </row>
    <row r="157" spans="1:10" x14ac:dyDescent="0.25">
      <c r="A157">
        <v>154</v>
      </c>
    </row>
    <row r="158" spans="1:10" x14ac:dyDescent="0.25">
      <c r="A158">
        <v>155</v>
      </c>
      <c r="B158" t="s">
        <v>471</v>
      </c>
      <c r="C158" t="s">
        <v>375</v>
      </c>
      <c r="F158" s="4" t="s">
        <v>626</v>
      </c>
      <c r="G158" s="8"/>
      <c r="H158" s="8"/>
      <c r="I158" s="8" t="s">
        <v>538</v>
      </c>
      <c r="J158" s="8" t="s">
        <v>623</v>
      </c>
    </row>
    <row r="159" spans="1:10" x14ac:dyDescent="0.25">
      <c r="A159">
        <v>156</v>
      </c>
      <c r="B159" s="14" t="s">
        <v>514</v>
      </c>
      <c r="C159" t="s">
        <v>413</v>
      </c>
      <c r="F159" s="4" t="s">
        <v>626</v>
      </c>
      <c r="I159" s="8" t="s">
        <v>548</v>
      </c>
    </row>
    <row r="160" spans="1:10" x14ac:dyDescent="0.25">
      <c r="A160">
        <v>157</v>
      </c>
      <c r="B160" t="s">
        <v>514</v>
      </c>
      <c r="C160" t="s">
        <v>414</v>
      </c>
      <c r="F160" s="4" t="s">
        <v>626</v>
      </c>
      <c r="I160" s="8" t="s">
        <v>548</v>
      </c>
    </row>
    <row r="161" spans="1:14" x14ac:dyDescent="0.25">
      <c r="A161">
        <v>158</v>
      </c>
      <c r="B161" t="s">
        <v>514</v>
      </c>
      <c r="C161" t="s">
        <v>415</v>
      </c>
      <c r="F161" s="4" t="s">
        <v>626</v>
      </c>
      <c r="I161" s="8" t="s">
        <v>548</v>
      </c>
    </row>
    <row r="162" spans="1:14" x14ac:dyDescent="0.25">
      <c r="A162">
        <v>159</v>
      </c>
      <c r="B162" t="s">
        <v>514</v>
      </c>
      <c r="C162" t="s">
        <v>421</v>
      </c>
      <c r="F162" s="4" t="s">
        <v>626</v>
      </c>
      <c r="I162" s="8" t="s">
        <v>548</v>
      </c>
    </row>
    <row r="163" spans="1:14" x14ac:dyDescent="0.25">
      <c r="A163">
        <v>160</v>
      </c>
      <c r="B163" t="s">
        <v>514</v>
      </c>
      <c r="C163" t="s">
        <v>416</v>
      </c>
      <c r="F163" s="4" t="s">
        <v>626</v>
      </c>
      <c r="I163" s="8" t="s">
        <v>548</v>
      </c>
    </row>
    <row r="164" spans="1:14" x14ac:dyDescent="0.25">
      <c r="A164">
        <v>161</v>
      </c>
      <c r="B164" t="s">
        <v>514</v>
      </c>
      <c r="C164" t="s">
        <v>417</v>
      </c>
      <c r="F164" s="4" t="s">
        <v>626</v>
      </c>
      <c r="I164" s="8" t="s">
        <v>548</v>
      </c>
    </row>
    <row r="165" spans="1:14" x14ac:dyDescent="0.25">
      <c r="A165">
        <v>162</v>
      </c>
      <c r="B165" t="s">
        <v>515</v>
      </c>
      <c r="C165" t="s">
        <v>418</v>
      </c>
      <c r="F165" s="4" t="s">
        <v>626</v>
      </c>
      <c r="I165" s="8" t="s">
        <v>548</v>
      </c>
    </row>
    <row r="166" spans="1:14" x14ac:dyDescent="0.25">
      <c r="A166">
        <v>163</v>
      </c>
      <c r="B166" t="s">
        <v>515</v>
      </c>
      <c r="C166" t="s">
        <v>419</v>
      </c>
      <c r="F166" s="4" t="s">
        <v>626</v>
      </c>
      <c r="I166" s="8" t="s">
        <v>548</v>
      </c>
    </row>
    <row r="167" spans="1:14" x14ac:dyDescent="0.25">
      <c r="A167">
        <v>164</v>
      </c>
      <c r="B167" t="s">
        <v>515</v>
      </c>
      <c r="C167" t="s">
        <v>420</v>
      </c>
      <c r="F167" s="4" t="s">
        <v>626</v>
      </c>
      <c r="I167" s="8" t="s">
        <v>548</v>
      </c>
    </row>
    <row r="168" spans="1:14" x14ac:dyDescent="0.25">
      <c r="A168">
        <v>165</v>
      </c>
      <c r="B168" t="s">
        <v>515</v>
      </c>
      <c r="C168" t="s">
        <v>422</v>
      </c>
      <c r="F168" s="4" t="s">
        <v>626</v>
      </c>
      <c r="I168" s="8" t="s">
        <v>548</v>
      </c>
    </row>
    <row r="169" spans="1:14" x14ac:dyDescent="0.25">
      <c r="A169">
        <v>166</v>
      </c>
      <c r="B169" t="s">
        <v>515</v>
      </c>
      <c r="C169" t="s">
        <v>423</v>
      </c>
      <c r="F169" s="4" t="s">
        <v>626</v>
      </c>
      <c r="I169" s="8" t="s">
        <v>548</v>
      </c>
    </row>
    <row r="170" spans="1:14" x14ac:dyDescent="0.25">
      <c r="A170">
        <v>167</v>
      </c>
      <c r="B170" t="s">
        <v>515</v>
      </c>
      <c r="C170" t="s">
        <v>424</v>
      </c>
      <c r="F170" s="4" t="s">
        <v>626</v>
      </c>
      <c r="I170" s="8" t="s">
        <v>548</v>
      </c>
    </row>
    <row r="171" spans="1:14" x14ac:dyDescent="0.25">
      <c r="A171">
        <v>168</v>
      </c>
      <c r="B171" t="s">
        <v>523</v>
      </c>
      <c r="F171" s="4" t="s">
        <v>626</v>
      </c>
      <c r="I171" s="8" t="s">
        <v>593</v>
      </c>
      <c r="J171" s="8"/>
      <c r="N171" t="s">
        <v>677</v>
      </c>
    </row>
    <row r="172" spans="1:14" x14ac:dyDescent="0.25">
      <c r="A172">
        <v>169</v>
      </c>
      <c r="B172" t="s">
        <v>524</v>
      </c>
      <c r="F172" s="4" t="s">
        <v>626</v>
      </c>
      <c r="I172" s="8" t="s">
        <v>593</v>
      </c>
      <c r="J172" s="8"/>
      <c r="N172" t="s">
        <v>677</v>
      </c>
    </row>
    <row r="173" spans="1:14" x14ac:dyDescent="0.25">
      <c r="A173">
        <v>170</v>
      </c>
      <c r="B173" t="s">
        <v>525</v>
      </c>
      <c r="F173" s="4" t="s">
        <v>626</v>
      </c>
      <c r="I173" s="8" t="s">
        <v>593</v>
      </c>
      <c r="J173" s="8"/>
      <c r="N173" t="s">
        <v>677</v>
      </c>
    </row>
    <row r="174" spans="1:14" x14ac:dyDescent="0.25">
      <c r="A174">
        <v>171</v>
      </c>
      <c r="B174" t="s">
        <v>526</v>
      </c>
      <c r="F174" s="4" t="s">
        <v>626</v>
      </c>
      <c r="I174" s="8" t="s">
        <v>593</v>
      </c>
      <c r="N174" t="s">
        <v>677</v>
      </c>
    </row>
    <row r="175" spans="1:14" x14ac:dyDescent="0.25">
      <c r="A175">
        <v>172</v>
      </c>
      <c r="B175" t="s">
        <v>527</v>
      </c>
      <c r="F175" s="4" t="s">
        <v>626</v>
      </c>
      <c r="I175" s="8" t="s">
        <v>593</v>
      </c>
      <c r="N175" t="s">
        <v>677</v>
      </c>
    </row>
    <row r="176" spans="1:14" x14ac:dyDescent="0.25">
      <c r="A176">
        <v>173</v>
      </c>
      <c r="B176" t="s">
        <v>528</v>
      </c>
      <c r="F176" s="4" t="s">
        <v>626</v>
      </c>
      <c r="I176" s="8" t="s">
        <v>593</v>
      </c>
      <c r="N176" t="s">
        <v>677</v>
      </c>
    </row>
    <row r="177" spans="1:14" x14ac:dyDescent="0.25">
      <c r="A177">
        <v>174</v>
      </c>
      <c r="B177" t="s">
        <v>529</v>
      </c>
      <c r="F177" s="4" t="s">
        <v>626</v>
      </c>
      <c r="I177" s="8" t="s">
        <v>627</v>
      </c>
      <c r="N177" t="s">
        <v>677</v>
      </c>
    </row>
    <row r="178" spans="1:14" x14ac:dyDescent="0.25">
      <c r="A178">
        <v>175</v>
      </c>
      <c r="B178" t="s">
        <v>530</v>
      </c>
      <c r="F178" s="4" t="s">
        <v>626</v>
      </c>
      <c r="I178" s="8" t="s">
        <v>627</v>
      </c>
      <c r="N178" t="s">
        <v>677</v>
      </c>
    </row>
    <row r="179" spans="1:14" x14ac:dyDescent="0.25">
      <c r="A179">
        <v>176</v>
      </c>
      <c r="B179" t="s">
        <v>531</v>
      </c>
      <c r="F179" s="4" t="s">
        <v>626</v>
      </c>
      <c r="I179" s="8" t="s">
        <v>627</v>
      </c>
      <c r="N179" t="s">
        <v>677</v>
      </c>
    </row>
    <row r="180" spans="1:14" x14ac:dyDescent="0.25">
      <c r="A180">
        <v>177</v>
      </c>
      <c r="B180" t="s">
        <v>532</v>
      </c>
      <c r="F180" s="4" t="s">
        <v>626</v>
      </c>
      <c r="I180" s="8" t="s">
        <v>627</v>
      </c>
      <c r="N180" t="s">
        <v>677</v>
      </c>
    </row>
    <row r="181" spans="1:14" x14ac:dyDescent="0.25">
      <c r="A181">
        <v>178</v>
      </c>
      <c r="B181" t="s">
        <v>533</v>
      </c>
      <c r="F181" s="4" t="s">
        <v>626</v>
      </c>
      <c r="I181" s="8" t="s">
        <v>627</v>
      </c>
      <c r="N181" t="s">
        <v>677</v>
      </c>
    </row>
    <row r="182" spans="1:14" x14ac:dyDescent="0.25">
      <c r="A182">
        <v>179</v>
      </c>
      <c r="B182" t="s">
        <v>534</v>
      </c>
      <c r="F182" s="4" t="s">
        <v>626</v>
      </c>
      <c r="I182" s="8" t="s">
        <v>627</v>
      </c>
      <c r="N182" t="s">
        <v>677</v>
      </c>
    </row>
    <row r="183" spans="1:14" x14ac:dyDescent="0.25">
      <c r="A183">
        <v>180</v>
      </c>
      <c r="B183" t="s">
        <v>458</v>
      </c>
      <c r="C183" t="s">
        <v>310</v>
      </c>
      <c r="F183" s="4" t="s">
        <v>626</v>
      </c>
      <c r="G183" s="8" t="s">
        <v>592</v>
      </c>
      <c r="H183" s="8"/>
      <c r="I183" s="8" t="s">
        <v>593</v>
      </c>
    </row>
    <row r="184" spans="1:14" x14ac:dyDescent="0.25">
      <c r="A184">
        <v>181</v>
      </c>
      <c r="B184" t="s">
        <v>458</v>
      </c>
      <c r="C184" t="s">
        <v>309</v>
      </c>
      <c r="F184" s="4" t="s">
        <v>626</v>
      </c>
      <c r="G184" s="8" t="s">
        <v>592</v>
      </c>
      <c r="H184" s="8"/>
      <c r="I184" s="8" t="s">
        <v>593</v>
      </c>
    </row>
    <row r="185" spans="1:14" x14ac:dyDescent="0.25">
      <c r="A185">
        <v>182</v>
      </c>
      <c r="B185" t="s">
        <v>458</v>
      </c>
      <c r="C185" t="s">
        <v>308</v>
      </c>
      <c r="F185" s="4" t="s">
        <v>626</v>
      </c>
      <c r="G185" s="8" t="s">
        <v>592</v>
      </c>
      <c r="H185" s="8"/>
      <c r="I185" s="8" t="s">
        <v>593</v>
      </c>
    </row>
    <row r="186" spans="1:14" x14ac:dyDescent="0.25">
      <c r="A186">
        <v>183</v>
      </c>
      <c r="B186" t="s">
        <v>459</v>
      </c>
      <c r="C186" t="s">
        <v>312</v>
      </c>
      <c r="F186" s="4" t="s">
        <v>626</v>
      </c>
      <c r="G186" s="8" t="s">
        <v>548</v>
      </c>
      <c r="H186" s="8"/>
      <c r="I186" s="8" t="s">
        <v>548</v>
      </c>
    </row>
    <row r="187" spans="1:14" x14ac:dyDescent="0.25">
      <c r="A187">
        <v>184</v>
      </c>
      <c r="B187" t="s">
        <v>468</v>
      </c>
      <c r="C187" t="s">
        <v>367</v>
      </c>
      <c r="F187" s="4" t="s">
        <v>626</v>
      </c>
      <c r="G187" s="8" t="s">
        <v>616</v>
      </c>
      <c r="H187" s="8"/>
      <c r="I187" s="8" t="s">
        <v>548</v>
      </c>
    </row>
    <row r="188" spans="1:14" ht="39.6" x14ac:dyDescent="0.25">
      <c r="A188">
        <v>185</v>
      </c>
      <c r="B188" t="s">
        <v>468</v>
      </c>
      <c r="C188" t="s">
        <v>368</v>
      </c>
      <c r="F188" s="4" t="s">
        <v>626</v>
      </c>
      <c r="G188" s="8" t="s">
        <v>617</v>
      </c>
      <c r="H188" s="8"/>
      <c r="I188" s="8" t="s">
        <v>548</v>
      </c>
    </row>
    <row r="189" spans="1:14" ht="52.8" x14ac:dyDescent="0.25">
      <c r="A189">
        <v>186</v>
      </c>
      <c r="B189" t="s">
        <v>468</v>
      </c>
      <c r="C189" t="s">
        <v>369</v>
      </c>
      <c r="F189" s="4" t="s">
        <v>626</v>
      </c>
      <c r="G189" s="8" t="s">
        <v>618</v>
      </c>
      <c r="H189" s="8"/>
      <c r="I189" s="8" t="s">
        <v>548</v>
      </c>
    </row>
    <row r="190" spans="1:14" ht="26.4" x14ac:dyDescent="0.25">
      <c r="A190">
        <v>187</v>
      </c>
      <c r="B190" t="s">
        <v>468</v>
      </c>
      <c r="C190" t="s">
        <v>370</v>
      </c>
      <c r="F190" s="4" t="s">
        <v>626</v>
      </c>
      <c r="G190" s="8" t="s">
        <v>619</v>
      </c>
      <c r="H190" s="8"/>
      <c r="I190" s="8" t="s">
        <v>548</v>
      </c>
    </row>
    <row r="191" spans="1:14" ht="66" x14ac:dyDescent="0.25">
      <c r="A191">
        <v>188</v>
      </c>
      <c r="B191" t="s">
        <v>468</v>
      </c>
      <c r="C191" t="s">
        <v>371</v>
      </c>
      <c r="F191" s="4" t="s">
        <v>626</v>
      </c>
      <c r="G191" s="8" t="s">
        <v>620</v>
      </c>
      <c r="H191" s="8"/>
      <c r="I191" s="8" t="s">
        <v>548</v>
      </c>
    </row>
    <row r="192" spans="1:14" ht="26.4" x14ac:dyDescent="0.25">
      <c r="A192">
        <v>189</v>
      </c>
      <c r="B192" t="s">
        <v>468</v>
      </c>
      <c r="C192" t="s">
        <v>372</v>
      </c>
      <c r="F192" s="4" t="s">
        <v>626</v>
      </c>
      <c r="G192" s="8" t="s">
        <v>621</v>
      </c>
      <c r="H192" s="8"/>
      <c r="I192" s="8" t="s">
        <v>548</v>
      </c>
    </row>
    <row r="193" spans="1:9" ht="39.6" x14ac:dyDescent="0.25">
      <c r="A193">
        <v>190</v>
      </c>
      <c r="B193" t="s">
        <v>469</v>
      </c>
      <c r="C193" t="s">
        <v>373</v>
      </c>
      <c r="F193" s="4" t="s">
        <v>626</v>
      </c>
      <c r="G193" s="8" t="s">
        <v>615</v>
      </c>
      <c r="H193" s="8"/>
      <c r="I193" s="8" t="s">
        <v>548</v>
      </c>
    </row>
  </sheetData>
  <autoFilter ref="A2:F193"/>
  <sortState ref="A128:K145">
    <sortCondition ref="E128:E145"/>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174"/>
  <sheetViews>
    <sheetView zoomScale="85" zoomScaleNormal="85" workbookViewId="0">
      <pane ySplit="2" topLeftCell="A3" activePane="bottomLeft" state="frozen"/>
      <selection pane="bottomLeft" activeCell="F34" sqref="F34"/>
    </sheetView>
  </sheetViews>
  <sheetFormatPr defaultRowHeight="13.2" x14ac:dyDescent="0.25"/>
  <cols>
    <col min="1" max="1" width="6.6640625" style="3" bestFit="1" customWidth="1"/>
    <col min="2" max="2" width="46" style="6" bestFit="1" customWidth="1"/>
    <col min="3" max="3" width="17.6640625" style="3" bestFit="1" customWidth="1"/>
    <col min="4" max="6" width="9.109375" style="3"/>
    <col min="7" max="38" width="4.6640625" customWidth="1"/>
    <col min="39" max="39" width="21.109375" style="5" bestFit="1" customWidth="1"/>
  </cols>
  <sheetData>
    <row r="1" spans="1:39" s="3" customFormat="1" ht="39.6" x14ac:dyDescent="0.25">
      <c r="A1" s="7" t="s">
        <v>267</v>
      </c>
      <c r="B1" s="6" t="s">
        <v>4</v>
      </c>
      <c r="C1" s="3" t="s">
        <v>5</v>
      </c>
      <c r="D1" s="3" t="s">
        <v>3</v>
      </c>
      <c r="E1" s="3" t="s">
        <v>6</v>
      </c>
      <c r="G1" s="2">
        <v>31</v>
      </c>
      <c r="H1" s="2">
        <v>30</v>
      </c>
      <c r="I1" s="2">
        <v>29</v>
      </c>
      <c r="J1" s="2">
        <v>28</v>
      </c>
      <c r="K1" s="2">
        <v>27</v>
      </c>
      <c r="L1" s="2">
        <v>26</v>
      </c>
      <c r="M1" s="2">
        <v>25</v>
      </c>
      <c r="N1" s="2">
        <v>24</v>
      </c>
      <c r="O1" s="2">
        <v>23</v>
      </c>
      <c r="P1" s="2">
        <v>22</v>
      </c>
      <c r="Q1" s="2">
        <v>21</v>
      </c>
      <c r="R1" s="2">
        <v>20</v>
      </c>
      <c r="S1" s="2">
        <v>19</v>
      </c>
      <c r="T1" s="2">
        <v>18</v>
      </c>
      <c r="U1" s="2">
        <v>17</v>
      </c>
      <c r="V1" s="2">
        <v>16</v>
      </c>
      <c r="W1" s="2">
        <v>15</v>
      </c>
      <c r="X1" s="2">
        <v>14</v>
      </c>
      <c r="Y1" s="2">
        <v>13</v>
      </c>
      <c r="Z1" s="2">
        <v>12</v>
      </c>
      <c r="AA1" s="2">
        <v>11</v>
      </c>
      <c r="AB1" s="2">
        <v>10</v>
      </c>
      <c r="AC1" s="2">
        <v>9</v>
      </c>
      <c r="AD1" s="2">
        <v>8</v>
      </c>
      <c r="AE1" s="2">
        <v>7</v>
      </c>
      <c r="AF1" s="2">
        <v>6</v>
      </c>
      <c r="AG1" s="2">
        <v>5</v>
      </c>
      <c r="AH1" s="2">
        <v>4</v>
      </c>
      <c r="AI1" s="2">
        <v>3</v>
      </c>
      <c r="AJ1" s="2">
        <v>2</v>
      </c>
      <c r="AK1" s="2">
        <v>1</v>
      </c>
      <c r="AL1" s="2">
        <v>0</v>
      </c>
      <c r="AM1" s="6"/>
    </row>
    <row r="3" spans="1:39" x14ac:dyDescent="0.25">
      <c r="A3" s="3">
        <v>1</v>
      </c>
      <c r="B3" s="6" t="s">
        <v>7</v>
      </c>
      <c r="C3" s="4" t="s">
        <v>8</v>
      </c>
      <c r="D3" s="3" t="s">
        <v>9</v>
      </c>
      <c r="E3" s="3" t="s">
        <v>10</v>
      </c>
      <c r="F3" s="3" t="s">
        <v>2</v>
      </c>
      <c r="G3" s="9" t="s">
        <v>270</v>
      </c>
      <c r="H3" s="1"/>
      <c r="I3" s="1"/>
      <c r="J3" s="1"/>
      <c r="K3" s="1"/>
      <c r="L3" s="1"/>
      <c r="M3" s="1"/>
      <c r="N3" s="1"/>
      <c r="O3" s="1"/>
      <c r="P3" s="1"/>
      <c r="Q3" s="1"/>
      <c r="R3" s="1"/>
      <c r="S3" s="1"/>
      <c r="T3" s="1"/>
      <c r="U3" s="1"/>
      <c r="V3" s="1"/>
      <c r="W3" s="1"/>
      <c r="X3" s="1"/>
      <c r="Y3" s="1"/>
      <c r="Z3" s="1"/>
      <c r="AA3" s="1"/>
      <c r="AB3" s="1"/>
      <c r="AC3" s="1"/>
      <c r="AD3" s="1"/>
      <c r="AE3" s="9" t="s">
        <v>0</v>
      </c>
      <c r="AF3" s="1"/>
      <c r="AG3" s="1"/>
      <c r="AH3" s="1" t="s">
        <v>268</v>
      </c>
      <c r="AI3" s="9" t="s">
        <v>0</v>
      </c>
      <c r="AJ3" s="9" t="s">
        <v>269</v>
      </c>
      <c r="AK3" s="1"/>
      <c r="AL3" s="1"/>
      <c r="AM3" s="12"/>
    </row>
    <row r="4" spans="1:39" x14ac:dyDescent="0.25">
      <c r="A4" s="3">
        <v>1</v>
      </c>
      <c r="B4" s="6" t="s">
        <v>7</v>
      </c>
      <c r="C4" s="3" t="s">
        <v>8</v>
      </c>
      <c r="D4" s="3" t="s">
        <v>9</v>
      </c>
      <c r="E4" s="3" t="s">
        <v>10</v>
      </c>
      <c r="F4" s="4" t="s">
        <v>1</v>
      </c>
      <c r="G4" s="10"/>
      <c r="H4" s="11"/>
      <c r="I4" s="11"/>
      <c r="J4" s="11"/>
      <c r="K4" s="11"/>
      <c r="L4" s="11"/>
      <c r="M4" s="11"/>
      <c r="N4" s="11"/>
      <c r="O4" s="11"/>
      <c r="P4" s="11"/>
      <c r="Q4" s="11"/>
      <c r="R4" s="11"/>
      <c r="S4" s="11"/>
      <c r="T4" s="11"/>
      <c r="U4" s="11"/>
      <c r="V4" s="11"/>
      <c r="W4" s="11"/>
      <c r="X4" s="11"/>
      <c r="Y4" s="11"/>
      <c r="Z4" s="11"/>
      <c r="AA4" s="11"/>
      <c r="AB4" s="11"/>
      <c r="AC4" s="11"/>
      <c r="AD4" s="11"/>
      <c r="AE4" s="11">
        <v>0</v>
      </c>
      <c r="AF4" s="11">
        <v>0</v>
      </c>
      <c r="AG4" s="11">
        <v>0</v>
      </c>
      <c r="AH4" s="11">
        <v>0</v>
      </c>
      <c r="AI4" s="10">
        <v>0</v>
      </c>
      <c r="AJ4" s="10">
        <v>0</v>
      </c>
      <c r="AK4" s="11">
        <v>0</v>
      </c>
      <c r="AL4" s="11">
        <v>1</v>
      </c>
      <c r="AM4" s="13" t="s">
        <v>271</v>
      </c>
    </row>
    <row r="5" spans="1:39" x14ac:dyDescent="0.25">
      <c r="A5" s="3">
        <v>2</v>
      </c>
      <c r="B5" s="6" t="s">
        <v>11</v>
      </c>
      <c r="C5" s="3" t="s">
        <v>12</v>
      </c>
      <c r="D5" s="3" t="s">
        <v>13</v>
      </c>
      <c r="E5" s="3" t="s">
        <v>10</v>
      </c>
      <c r="F5" s="3" t="s">
        <v>2</v>
      </c>
      <c r="G5" s="9" t="s">
        <v>272</v>
      </c>
      <c r="H5" s="1"/>
      <c r="I5" s="1"/>
      <c r="J5" s="1"/>
      <c r="K5" s="1"/>
      <c r="L5" s="1"/>
      <c r="M5" s="1"/>
      <c r="N5" s="1"/>
      <c r="O5" s="1"/>
      <c r="P5" s="1"/>
      <c r="Q5" s="1"/>
      <c r="R5" s="1"/>
      <c r="S5" s="1"/>
      <c r="T5" s="1"/>
      <c r="U5" s="1"/>
      <c r="V5" s="1"/>
      <c r="W5" s="9" t="s">
        <v>0</v>
      </c>
      <c r="X5" s="1"/>
      <c r="Y5" s="1"/>
      <c r="Z5" s="1"/>
      <c r="AA5" s="1"/>
      <c r="AB5" s="1"/>
      <c r="AC5" s="9" t="s">
        <v>281</v>
      </c>
      <c r="AD5" s="9" t="s">
        <v>280</v>
      </c>
      <c r="AE5" s="9" t="s">
        <v>279</v>
      </c>
      <c r="AF5" s="9" t="s">
        <v>278</v>
      </c>
      <c r="AG5" s="9" t="s">
        <v>277</v>
      </c>
      <c r="AH5" s="9" t="s">
        <v>276</v>
      </c>
      <c r="AI5" s="9" t="s">
        <v>275</v>
      </c>
      <c r="AJ5" s="9" t="s">
        <v>274</v>
      </c>
      <c r="AK5" s="9" t="s">
        <v>273</v>
      </c>
      <c r="AL5" s="1"/>
      <c r="AM5" s="12"/>
    </row>
    <row r="6" spans="1:39" ht="26.4" x14ac:dyDescent="0.25">
      <c r="A6" s="3">
        <v>2</v>
      </c>
      <c r="B6" s="6" t="s">
        <v>11</v>
      </c>
      <c r="C6" s="3" t="s">
        <v>12</v>
      </c>
      <c r="D6" s="3" t="s">
        <v>13</v>
      </c>
      <c r="E6" s="3" t="s">
        <v>10</v>
      </c>
      <c r="F6" s="4" t="s">
        <v>1</v>
      </c>
      <c r="G6" s="10"/>
      <c r="H6" s="11"/>
      <c r="I6" s="11"/>
      <c r="J6" s="11"/>
      <c r="K6" s="11"/>
      <c r="L6" s="11"/>
      <c r="M6" s="11"/>
      <c r="N6" s="11"/>
      <c r="O6" s="11"/>
      <c r="P6" s="11"/>
      <c r="Q6" s="11"/>
      <c r="R6" s="11"/>
      <c r="S6" s="11"/>
      <c r="T6" s="11"/>
      <c r="U6" s="11"/>
      <c r="V6" s="11"/>
      <c r="W6" s="11">
        <v>0</v>
      </c>
      <c r="X6" s="11">
        <v>0</v>
      </c>
      <c r="Y6" s="11">
        <v>0</v>
      </c>
      <c r="Z6" s="11">
        <v>0</v>
      </c>
      <c r="AA6" s="11">
        <v>0</v>
      </c>
      <c r="AB6" s="11">
        <v>0</v>
      </c>
      <c r="AC6" s="11">
        <v>1</v>
      </c>
      <c r="AD6" s="11">
        <v>1</v>
      </c>
      <c r="AE6" s="11">
        <v>1</v>
      </c>
      <c r="AF6" s="11">
        <v>0</v>
      </c>
      <c r="AG6" s="11">
        <v>0</v>
      </c>
      <c r="AH6" s="11">
        <v>0</v>
      </c>
      <c r="AI6" s="10">
        <v>0</v>
      </c>
      <c r="AJ6" s="10">
        <v>0</v>
      </c>
      <c r="AK6" s="11">
        <v>0</v>
      </c>
      <c r="AL6" s="11">
        <v>0</v>
      </c>
      <c r="AM6" s="13" t="s">
        <v>282</v>
      </c>
    </row>
    <row r="7" spans="1:39" x14ac:dyDescent="0.25">
      <c r="A7" s="3">
        <v>3</v>
      </c>
      <c r="B7" s="6" t="s">
        <v>14</v>
      </c>
      <c r="C7" s="3" t="s">
        <v>15</v>
      </c>
      <c r="D7" s="3" t="s">
        <v>16</v>
      </c>
      <c r="E7" s="3" t="s">
        <v>10</v>
      </c>
      <c r="F7" s="3" t="s">
        <v>2</v>
      </c>
      <c r="G7" s="9" t="s">
        <v>0</v>
      </c>
      <c r="H7" s="1"/>
      <c r="I7" s="1"/>
      <c r="J7" s="1"/>
      <c r="K7" s="1"/>
      <c r="L7" s="1"/>
      <c r="M7" s="1"/>
      <c r="N7" s="1"/>
      <c r="O7" s="1"/>
      <c r="P7" s="1"/>
      <c r="Q7" s="1"/>
      <c r="R7" s="1"/>
      <c r="S7" s="1"/>
      <c r="T7" s="1"/>
      <c r="U7" s="1"/>
      <c r="V7" s="1"/>
      <c r="W7" s="9"/>
      <c r="X7" s="1"/>
      <c r="Y7" s="1"/>
      <c r="Z7" s="1"/>
      <c r="AA7" s="1"/>
      <c r="AB7" s="1"/>
      <c r="AC7" s="9"/>
      <c r="AD7" s="9"/>
      <c r="AE7" s="9"/>
      <c r="AF7" s="9"/>
      <c r="AG7" s="9"/>
      <c r="AH7" s="9"/>
      <c r="AI7" s="9"/>
      <c r="AJ7" s="9"/>
      <c r="AK7" s="9"/>
      <c r="AL7" s="9" t="s">
        <v>283</v>
      </c>
      <c r="AM7" s="12"/>
    </row>
    <row r="8" spans="1:39" ht="26.4" x14ac:dyDescent="0.25">
      <c r="A8" s="3">
        <v>3</v>
      </c>
      <c r="B8" s="6" t="s">
        <v>14</v>
      </c>
      <c r="C8" s="3" t="s">
        <v>15</v>
      </c>
      <c r="D8" s="3" t="s">
        <v>16</v>
      </c>
      <c r="E8" s="3" t="s">
        <v>10</v>
      </c>
      <c r="F8" s="4" t="s">
        <v>1</v>
      </c>
      <c r="G8" s="10">
        <v>0</v>
      </c>
      <c r="H8" s="11">
        <v>0</v>
      </c>
      <c r="I8" s="11">
        <v>0</v>
      </c>
      <c r="J8" s="11">
        <v>0</v>
      </c>
      <c r="K8" s="11">
        <v>0</v>
      </c>
      <c r="L8" s="11">
        <v>0</v>
      </c>
      <c r="M8" s="11">
        <v>0</v>
      </c>
      <c r="N8" s="11">
        <v>0</v>
      </c>
      <c r="O8" s="11">
        <v>0</v>
      </c>
      <c r="P8" s="11">
        <v>0</v>
      </c>
      <c r="Q8" s="11">
        <v>0</v>
      </c>
      <c r="R8" s="11">
        <v>0</v>
      </c>
      <c r="S8" s="11">
        <v>0</v>
      </c>
      <c r="T8" s="11">
        <v>0</v>
      </c>
      <c r="U8" s="11">
        <v>0</v>
      </c>
      <c r="V8" s="11">
        <v>0</v>
      </c>
      <c r="W8" s="11">
        <v>0</v>
      </c>
      <c r="X8" s="11">
        <v>0</v>
      </c>
      <c r="Y8" s="11">
        <v>0</v>
      </c>
      <c r="Z8" s="11">
        <v>0</v>
      </c>
      <c r="AA8" s="11">
        <v>0</v>
      </c>
      <c r="AB8" s="11">
        <v>0</v>
      </c>
      <c r="AC8" s="11">
        <v>0</v>
      </c>
      <c r="AD8" s="11">
        <v>0</v>
      </c>
      <c r="AE8" s="11">
        <v>0</v>
      </c>
      <c r="AF8" s="11">
        <v>0</v>
      </c>
      <c r="AG8" s="11">
        <v>0</v>
      </c>
      <c r="AH8" s="11">
        <v>0</v>
      </c>
      <c r="AI8" s="10">
        <v>0</v>
      </c>
      <c r="AJ8" s="10">
        <v>0</v>
      </c>
      <c r="AK8" s="11">
        <v>0</v>
      </c>
      <c r="AL8" s="11">
        <v>0</v>
      </c>
      <c r="AM8" s="13" t="s">
        <v>284</v>
      </c>
    </row>
    <row r="9" spans="1:39" x14ac:dyDescent="0.25">
      <c r="A9" s="3">
        <v>4</v>
      </c>
      <c r="B9" s="6" t="s">
        <v>17</v>
      </c>
      <c r="C9" s="3" t="s">
        <v>18</v>
      </c>
      <c r="D9" s="3" t="s">
        <v>19</v>
      </c>
      <c r="E9" s="3" t="s">
        <v>10</v>
      </c>
      <c r="F9" s="3" t="s">
        <v>2</v>
      </c>
      <c r="G9" s="9" t="s">
        <v>270</v>
      </c>
      <c r="H9" s="1"/>
      <c r="I9" s="1"/>
      <c r="J9" s="1"/>
      <c r="K9" s="1"/>
      <c r="L9" s="1"/>
      <c r="M9" s="1"/>
      <c r="N9" s="1"/>
      <c r="O9" s="1"/>
      <c r="P9" s="1"/>
      <c r="Q9" s="1"/>
      <c r="R9" s="1"/>
      <c r="S9" s="1"/>
      <c r="T9" s="1"/>
      <c r="U9" s="1"/>
      <c r="V9" s="1"/>
      <c r="W9" s="1"/>
      <c r="X9" s="1"/>
      <c r="Y9" s="1"/>
      <c r="Z9" s="1"/>
      <c r="AA9" s="1"/>
      <c r="AB9" s="1"/>
      <c r="AC9" s="1"/>
      <c r="AD9" s="1"/>
      <c r="AE9" s="9" t="s">
        <v>0</v>
      </c>
      <c r="AF9" s="1"/>
      <c r="AG9" s="1"/>
      <c r="AH9" s="1"/>
      <c r="AI9" s="9"/>
      <c r="AJ9" s="9"/>
      <c r="AK9" s="9" t="s">
        <v>285</v>
      </c>
      <c r="AL9" s="9" t="s">
        <v>286</v>
      </c>
      <c r="AM9" s="12"/>
    </row>
    <row r="10" spans="1:39" ht="26.4" x14ac:dyDescent="0.25">
      <c r="A10" s="3">
        <v>4</v>
      </c>
      <c r="B10" s="6" t="s">
        <v>17</v>
      </c>
      <c r="C10" s="3" t="s">
        <v>18</v>
      </c>
      <c r="D10" s="3" t="s">
        <v>19</v>
      </c>
      <c r="E10" s="3" t="s">
        <v>10</v>
      </c>
      <c r="F10" s="4" t="s">
        <v>1</v>
      </c>
      <c r="G10" s="10"/>
      <c r="H10" s="11"/>
      <c r="I10" s="11"/>
      <c r="J10" s="11"/>
      <c r="K10" s="11"/>
      <c r="L10" s="11"/>
      <c r="M10" s="11"/>
      <c r="N10" s="11"/>
      <c r="O10" s="11"/>
      <c r="P10" s="11"/>
      <c r="Q10" s="11"/>
      <c r="R10" s="11"/>
      <c r="S10" s="11"/>
      <c r="T10" s="11"/>
      <c r="U10" s="11"/>
      <c r="V10" s="11"/>
      <c r="W10" s="11"/>
      <c r="X10" s="11"/>
      <c r="Y10" s="11"/>
      <c r="Z10" s="11"/>
      <c r="AA10" s="11"/>
      <c r="AB10" s="11"/>
      <c r="AC10" s="11"/>
      <c r="AD10" s="11"/>
      <c r="AE10" s="11">
        <v>0</v>
      </c>
      <c r="AF10" s="11">
        <v>0</v>
      </c>
      <c r="AG10" s="11">
        <v>0</v>
      </c>
      <c r="AH10" s="11">
        <v>0</v>
      </c>
      <c r="AI10" s="10">
        <v>0</v>
      </c>
      <c r="AJ10" s="10">
        <v>0</v>
      </c>
      <c r="AK10" s="11">
        <v>0</v>
      </c>
      <c r="AL10" s="11">
        <v>0</v>
      </c>
      <c r="AM10" s="13" t="s">
        <v>287</v>
      </c>
    </row>
    <row r="11" spans="1:39" x14ac:dyDescent="0.25">
      <c r="A11" s="3">
        <v>5</v>
      </c>
      <c r="B11" s="6" t="s">
        <v>20</v>
      </c>
      <c r="C11" s="3" t="s">
        <v>21</v>
      </c>
      <c r="D11" s="3" t="s">
        <v>22</v>
      </c>
      <c r="E11" s="3" t="s">
        <v>23</v>
      </c>
      <c r="F11" s="3" t="s">
        <v>2</v>
      </c>
      <c r="G11" s="9" t="s">
        <v>0</v>
      </c>
      <c r="H11" s="1"/>
      <c r="I11" s="1"/>
      <c r="J11" s="1"/>
      <c r="K11" s="1"/>
      <c r="L11" s="1"/>
      <c r="M11" s="1"/>
      <c r="N11" s="1"/>
      <c r="O11" s="1"/>
      <c r="P11" s="1"/>
      <c r="Q11" s="1"/>
      <c r="R11" s="1"/>
      <c r="S11" s="1"/>
      <c r="T11" s="1"/>
      <c r="U11" s="1"/>
      <c r="V11" s="1"/>
      <c r="W11" s="9"/>
      <c r="X11" s="1"/>
      <c r="Y11" s="1"/>
      <c r="Z11" s="1"/>
      <c r="AA11" s="1"/>
      <c r="AB11" s="1"/>
      <c r="AC11" s="9"/>
      <c r="AD11" s="9" t="s">
        <v>288</v>
      </c>
      <c r="AE11" s="9" t="s">
        <v>289</v>
      </c>
      <c r="AF11" s="9" t="s">
        <v>290</v>
      </c>
      <c r="AG11" s="9" t="s">
        <v>291</v>
      </c>
      <c r="AH11" s="9" t="s">
        <v>292</v>
      </c>
      <c r="AI11" s="9"/>
      <c r="AJ11" s="9"/>
      <c r="AK11" s="9"/>
      <c r="AL11" s="9"/>
    </row>
    <row r="12" spans="1:39" ht="26.4" x14ac:dyDescent="0.25">
      <c r="A12" s="3">
        <v>5</v>
      </c>
      <c r="B12" s="6" t="s">
        <v>20</v>
      </c>
      <c r="C12" s="3" t="s">
        <v>21</v>
      </c>
      <c r="D12" s="3" t="s">
        <v>22</v>
      </c>
      <c r="E12" s="3" t="s">
        <v>23</v>
      </c>
      <c r="F12" s="4" t="s">
        <v>1</v>
      </c>
      <c r="G12" s="10">
        <v>0</v>
      </c>
      <c r="H12" s="11">
        <v>0</v>
      </c>
      <c r="I12" s="11">
        <v>0</v>
      </c>
      <c r="J12" s="11">
        <v>0</v>
      </c>
      <c r="K12" s="11">
        <v>0</v>
      </c>
      <c r="L12" s="11">
        <v>0</v>
      </c>
      <c r="M12" s="11">
        <v>0</v>
      </c>
      <c r="N12" s="11">
        <v>0</v>
      </c>
      <c r="O12" s="11">
        <v>0</v>
      </c>
      <c r="P12" s="11">
        <v>0</v>
      </c>
      <c r="Q12" s="11">
        <v>0</v>
      </c>
      <c r="R12" s="11">
        <v>0</v>
      </c>
      <c r="S12" s="11">
        <v>0</v>
      </c>
      <c r="T12" s="11">
        <v>0</v>
      </c>
      <c r="U12" s="11">
        <v>0</v>
      </c>
      <c r="V12" s="11">
        <v>0</v>
      </c>
      <c r="W12" s="11">
        <v>0</v>
      </c>
      <c r="X12" s="11">
        <v>0</v>
      </c>
      <c r="Y12" s="11">
        <v>0</v>
      </c>
      <c r="Z12" s="11">
        <v>0</v>
      </c>
      <c r="AA12" s="11">
        <v>0</v>
      </c>
      <c r="AB12" s="11">
        <v>0</v>
      </c>
      <c r="AC12" s="11">
        <v>0</v>
      </c>
      <c r="AD12" s="11">
        <v>0</v>
      </c>
      <c r="AE12" s="11">
        <v>1</v>
      </c>
      <c r="AF12" s="11">
        <v>0</v>
      </c>
      <c r="AG12" s="11">
        <v>0</v>
      </c>
      <c r="AH12" s="11">
        <v>0</v>
      </c>
      <c r="AI12" s="10">
        <v>0</v>
      </c>
      <c r="AJ12" s="10">
        <v>0</v>
      </c>
      <c r="AK12" s="11">
        <v>0</v>
      </c>
      <c r="AL12" s="11">
        <v>0</v>
      </c>
      <c r="AM12" s="8" t="s">
        <v>293</v>
      </c>
    </row>
    <row r="13" spans="1:39" x14ac:dyDescent="0.25">
      <c r="A13" s="3">
        <v>6</v>
      </c>
      <c r="B13" s="6" t="s">
        <v>24</v>
      </c>
      <c r="C13" s="3" t="s">
        <v>25</v>
      </c>
      <c r="D13" s="3" t="s">
        <v>26</v>
      </c>
      <c r="E13" s="3" t="s">
        <v>10</v>
      </c>
      <c r="F13" s="3" t="s">
        <v>2</v>
      </c>
      <c r="G13" s="9" t="s">
        <v>272</v>
      </c>
      <c r="H13" s="1"/>
      <c r="I13" s="1"/>
      <c r="J13" s="1"/>
      <c r="K13" s="1"/>
      <c r="L13" s="1"/>
      <c r="M13" s="1"/>
      <c r="N13" s="1"/>
      <c r="O13" s="1"/>
      <c r="P13" s="1"/>
      <c r="Q13" s="1"/>
      <c r="R13" s="1"/>
      <c r="S13" s="1"/>
      <c r="T13" s="1"/>
      <c r="U13" s="1"/>
      <c r="V13" s="1"/>
      <c r="W13" s="9" t="s">
        <v>0</v>
      </c>
      <c r="X13" s="1"/>
      <c r="Y13" s="1"/>
      <c r="Z13" s="1"/>
      <c r="AA13" s="9" t="s">
        <v>294</v>
      </c>
      <c r="AB13" s="1"/>
      <c r="AC13" s="9" t="s">
        <v>295</v>
      </c>
      <c r="AD13" s="9" t="s">
        <v>296</v>
      </c>
      <c r="AE13" s="9" t="s">
        <v>297</v>
      </c>
      <c r="AF13" s="9" t="s">
        <v>298</v>
      </c>
      <c r="AG13" s="9" t="s">
        <v>299</v>
      </c>
      <c r="AH13" s="9" t="s">
        <v>300</v>
      </c>
      <c r="AI13" s="9" t="s">
        <v>301</v>
      </c>
      <c r="AJ13" s="9" t="s">
        <v>302</v>
      </c>
      <c r="AK13" s="9" t="s">
        <v>303</v>
      </c>
      <c r="AL13" s="9" t="s">
        <v>304</v>
      </c>
      <c r="AM13" s="12"/>
    </row>
    <row r="14" spans="1:39" ht="26.4" x14ac:dyDescent="0.25">
      <c r="A14" s="3">
        <v>6</v>
      </c>
      <c r="B14" s="6" t="s">
        <v>24</v>
      </c>
      <c r="C14" s="3" t="s">
        <v>25</v>
      </c>
      <c r="D14" s="3" t="s">
        <v>26</v>
      </c>
      <c r="E14" s="3" t="s">
        <v>10</v>
      </c>
      <c r="F14" s="4" t="s">
        <v>1</v>
      </c>
      <c r="G14" s="10"/>
      <c r="H14" s="11"/>
      <c r="I14" s="11"/>
      <c r="J14" s="11"/>
      <c r="K14" s="11"/>
      <c r="L14" s="11"/>
      <c r="M14" s="11"/>
      <c r="N14" s="11"/>
      <c r="O14" s="11"/>
      <c r="P14" s="11"/>
      <c r="Q14" s="11"/>
      <c r="R14" s="11"/>
      <c r="S14" s="11"/>
      <c r="T14" s="11"/>
      <c r="U14" s="11"/>
      <c r="V14" s="11"/>
      <c r="W14" s="11">
        <v>0</v>
      </c>
      <c r="X14" s="11">
        <v>0</v>
      </c>
      <c r="Y14" s="11">
        <v>0</v>
      </c>
      <c r="Z14" s="11">
        <v>0</v>
      </c>
      <c r="AA14" s="11">
        <v>0</v>
      </c>
      <c r="AB14" s="11">
        <v>0</v>
      </c>
      <c r="AC14" s="11">
        <v>0</v>
      </c>
      <c r="AD14" s="11">
        <v>0</v>
      </c>
      <c r="AE14" s="11">
        <v>0</v>
      </c>
      <c r="AF14" s="11">
        <v>0</v>
      </c>
      <c r="AG14" s="11">
        <v>0</v>
      </c>
      <c r="AH14" s="11">
        <v>0</v>
      </c>
      <c r="AI14" s="10">
        <v>0</v>
      </c>
      <c r="AJ14" s="10">
        <v>1</v>
      </c>
      <c r="AK14" s="11">
        <v>0</v>
      </c>
      <c r="AL14" s="11">
        <v>0</v>
      </c>
      <c r="AM14" s="13" t="s">
        <v>305</v>
      </c>
    </row>
    <row r="15" spans="1:39" x14ac:dyDescent="0.25">
      <c r="A15" s="3">
        <v>7</v>
      </c>
      <c r="B15" s="6" t="s">
        <v>27</v>
      </c>
      <c r="C15" s="3" t="s">
        <v>28</v>
      </c>
      <c r="D15" s="3" t="s">
        <v>29</v>
      </c>
      <c r="E15" s="3" t="s">
        <v>10</v>
      </c>
      <c r="F15" s="3" t="s">
        <v>2</v>
      </c>
      <c r="G15" s="9" t="s">
        <v>272</v>
      </c>
      <c r="H15" s="1"/>
      <c r="I15" s="1"/>
      <c r="J15" s="1"/>
      <c r="K15" s="1"/>
      <c r="L15" s="1"/>
      <c r="M15" s="1"/>
      <c r="N15" s="1"/>
      <c r="O15" s="1"/>
      <c r="P15" s="1"/>
      <c r="Q15" s="1"/>
      <c r="R15" s="1"/>
      <c r="S15" s="1"/>
      <c r="T15" s="1"/>
      <c r="U15" s="1"/>
      <c r="V15" s="1"/>
      <c r="W15" s="9" t="s">
        <v>0</v>
      </c>
      <c r="X15" s="1"/>
      <c r="Y15" s="1"/>
      <c r="Z15" s="1"/>
      <c r="AA15" s="9" t="s">
        <v>294</v>
      </c>
      <c r="AB15" s="1"/>
      <c r="AC15" s="9" t="s">
        <v>306</v>
      </c>
      <c r="AD15" s="9" t="s">
        <v>307</v>
      </c>
      <c r="AE15" s="9" t="s">
        <v>297</v>
      </c>
      <c r="AF15" s="9" t="s">
        <v>298</v>
      </c>
      <c r="AG15" s="9" t="s">
        <v>299</v>
      </c>
      <c r="AH15" s="9" t="s">
        <v>300</v>
      </c>
      <c r="AI15" s="9" t="s">
        <v>301</v>
      </c>
      <c r="AJ15" s="9" t="s">
        <v>302</v>
      </c>
      <c r="AK15" s="9" t="s">
        <v>303</v>
      </c>
      <c r="AL15" s="9" t="s">
        <v>304</v>
      </c>
      <c r="AM15" s="12"/>
    </row>
    <row r="16" spans="1:39" ht="26.4" x14ac:dyDescent="0.25">
      <c r="A16" s="3">
        <v>7</v>
      </c>
      <c r="B16" s="6" t="s">
        <v>27</v>
      </c>
      <c r="C16" s="3" t="s">
        <v>28</v>
      </c>
      <c r="D16" s="3" t="s">
        <v>29</v>
      </c>
      <c r="E16" s="3" t="s">
        <v>10</v>
      </c>
      <c r="F16" s="4" t="s">
        <v>1</v>
      </c>
      <c r="G16" s="10"/>
      <c r="H16" s="11"/>
      <c r="I16" s="11"/>
      <c r="J16" s="11"/>
      <c r="K16" s="11"/>
      <c r="L16" s="11"/>
      <c r="M16" s="11"/>
      <c r="N16" s="11"/>
      <c r="O16" s="11"/>
      <c r="P16" s="11"/>
      <c r="Q16" s="11"/>
      <c r="R16" s="11"/>
      <c r="S16" s="11"/>
      <c r="T16" s="11"/>
      <c r="U16" s="11"/>
      <c r="V16" s="11"/>
      <c r="W16" s="11">
        <v>0</v>
      </c>
      <c r="X16" s="11">
        <v>0</v>
      </c>
      <c r="Y16" s="11">
        <v>0</v>
      </c>
      <c r="Z16" s="11">
        <v>0</v>
      </c>
      <c r="AA16" s="11">
        <v>0</v>
      </c>
      <c r="AB16" s="11">
        <v>0</v>
      </c>
      <c r="AC16" s="11">
        <v>0</v>
      </c>
      <c r="AD16" s="11">
        <v>0</v>
      </c>
      <c r="AE16" s="11">
        <v>0</v>
      </c>
      <c r="AF16" s="11">
        <v>0</v>
      </c>
      <c r="AG16" s="11">
        <v>0</v>
      </c>
      <c r="AH16" s="11">
        <v>0</v>
      </c>
      <c r="AI16" s="10">
        <v>0</v>
      </c>
      <c r="AJ16" s="10">
        <v>1</v>
      </c>
      <c r="AK16" s="11">
        <v>0</v>
      </c>
      <c r="AL16" s="11">
        <v>0</v>
      </c>
      <c r="AM16" s="13" t="s">
        <v>305</v>
      </c>
    </row>
    <row r="17" spans="1:39" x14ac:dyDescent="0.25">
      <c r="A17" s="3">
        <v>8</v>
      </c>
      <c r="B17" s="6" t="s">
        <v>30</v>
      </c>
      <c r="C17" s="3" t="s">
        <v>31</v>
      </c>
      <c r="D17" s="3" t="s">
        <v>32</v>
      </c>
      <c r="E17" s="3" t="s">
        <v>10</v>
      </c>
      <c r="F17" s="3" t="s">
        <v>2</v>
      </c>
      <c r="G17" s="9" t="s">
        <v>270</v>
      </c>
      <c r="H17" s="1"/>
      <c r="I17" s="1"/>
      <c r="J17" s="1"/>
      <c r="K17" s="1"/>
      <c r="L17" s="1"/>
      <c r="M17" s="1"/>
      <c r="N17" s="1"/>
      <c r="O17" s="1"/>
      <c r="P17" s="1"/>
      <c r="Q17" s="1"/>
      <c r="R17" s="1"/>
      <c r="S17" s="1"/>
      <c r="T17" s="1"/>
      <c r="U17" s="1"/>
      <c r="V17" s="1"/>
      <c r="W17" s="1"/>
      <c r="X17" s="1"/>
      <c r="Y17" s="1"/>
      <c r="Z17" s="1"/>
      <c r="AA17" s="1"/>
      <c r="AB17" s="1"/>
      <c r="AC17" s="1"/>
      <c r="AD17" s="1"/>
      <c r="AE17" s="9" t="s">
        <v>0</v>
      </c>
      <c r="AF17" s="1"/>
      <c r="AG17" s="1"/>
      <c r="AH17" s="1"/>
      <c r="AI17" s="9"/>
      <c r="AJ17" s="9" t="s">
        <v>310</v>
      </c>
      <c r="AK17" s="1" t="s">
        <v>309</v>
      </c>
      <c r="AL17" s="1" t="s">
        <v>308</v>
      </c>
      <c r="AM17" s="12"/>
    </row>
    <row r="18" spans="1:39" x14ac:dyDescent="0.25">
      <c r="A18" s="3">
        <v>8</v>
      </c>
      <c r="B18" s="6" t="s">
        <v>30</v>
      </c>
      <c r="C18" s="3" t="s">
        <v>31</v>
      </c>
      <c r="D18" s="3" t="s">
        <v>32</v>
      </c>
      <c r="E18" s="3" t="s">
        <v>10</v>
      </c>
      <c r="F18" s="4" t="s">
        <v>1</v>
      </c>
      <c r="G18" s="10"/>
      <c r="H18" s="11"/>
      <c r="I18" s="11"/>
      <c r="J18" s="11"/>
      <c r="K18" s="11"/>
      <c r="L18" s="11"/>
      <c r="M18" s="11"/>
      <c r="N18" s="11"/>
      <c r="O18" s="11"/>
      <c r="P18" s="11"/>
      <c r="Q18" s="11"/>
      <c r="R18" s="11"/>
      <c r="S18" s="11"/>
      <c r="T18" s="11"/>
      <c r="U18" s="11"/>
      <c r="V18" s="11"/>
      <c r="W18" s="11">
        <v>0</v>
      </c>
      <c r="X18" s="11">
        <v>0</v>
      </c>
      <c r="Y18" s="11">
        <v>0</v>
      </c>
      <c r="Z18" s="11">
        <v>0</v>
      </c>
      <c r="AA18" s="11">
        <v>0</v>
      </c>
      <c r="AB18" s="11">
        <v>0</v>
      </c>
      <c r="AC18" s="11">
        <v>0</v>
      </c>
      <c r="AD18" s="11">
        <v>0</v>
      </c>
      <c r="AE18" s="11">
        <v>0</v>
      </c>
      <c r="AF18" s="11">
        <v>0</v>
      </c>
      <c r="AG18" s="11">
        <v>0</v>
      </c>
      <c r="AH18" s="11">
        <v>0</v>
      </c>
      <c r="AI18" s="10">
        <v>0</v>
      </c>
      <c r="AJ18" s="10">
        <v>0</v>
      </c>
      <c r="AK18" s="11">
        <v>0</v>
      </c>
      <c r="AL18" s="11">
        <v>0</v>
      </c>
      <c r="AM18" s="13" t="s">
        <v>311</v>
      </c>
    </row>
    <row r="19" spans="1:39" x14ac:dyDescent="0.25">
      <c r="A19" s="3">
        <v>9</v>
      </c>
      <c r="B19" s="6" t="s">
        <v>33</v>
      </c>
      <c r="C19" s="3" t="s">
        <v>34</v>
      </c>
      <c r="D19" s="3" t="s">
        <v>35</v>
      </c>
      <c r="E19" s="3" t="s">
        <v>10</v>
      </c>
      <c r="F19" s="3" t="s">
        <v>2</v>
      </c>
      <c r="G19" s="9" t="s">
        <v>270</v>
      </c>
      <c r="H19" s="1"/>
      <c r="I19" s="1"/>
      <c r="J19" s="1"/>
      <c r="K19" s="1"/>
      <c r="L19" s="1"/>
      <c r="M19" s="1"/>
      <c r="N19" s="1"/>
      <c r="O19" s="1"/>
      <c r="P19" s="1"/>
      <c r="Q19" s="1"/>
      <c r="R19" s="1"/>
      <c r="S19" s="1"/>
      <c r="T19" s="1"/>
      <c r="U19" s="1"/>
      <c r="V19" s="1"/>
      <c r="W19" s="1"/>
      <c r="X19" s="1"/>
      <c r="Y19" s="1"/>
      <c r="Z19" s="1"/>
      <c r="AA19" s="1"/>
      <c r="AB19" s="1"/>
      <c r="AC19" s="1"/>
      <c r="AD19" s="1"/>
      <c r="AE19" s="9" t="s">
        <v>0</v>
      </c>
      <c r="AF19" s="1"/>
      <c r="AG19" s="1"/>
      <c r="AH19" s="1"/>
      <c r="AI19" s="9"/>
      <c r="AJ19" s="9"/>
      <c r="AK19" s="1"/>
      <c r="AL19" s="1" t="s">
        <v>312</v>
      </c>
      <c r="AM19" s="12"/>
    </row>
    <row r="20" spans="1:39" x14ac:dyDescent="0.25">
      <c r="A20" s="3">
        <v>9</v>
      </c>
      <c r="B20" s="6" t="s">
        <v>33</v>
      </c>
      <c r="C20" s="3" t="s">
        <v>34</v>
      </c>
      <c r="D20" s="3" t="s">
        <v>35</v>
      </c>
      <c r="E20" s="3" t="s">
        <v>10</v>
      </c>
      <c r="F20" s="4" t="s">
        <v>1</v>
      </c>
      <c r="G20" s="10"/>
      <c r="H20" s="11"/>
      <c r="I20" s="11"/>
      <c r="J20" s="11"/>
      <c r="K20" s="11"/>
      <c r="L20" s="11"/>
      <c r="M20" s="11"/>
      <c r="N20" s="11"/>
      <c r="O20" s="11"/>
      <c r="P20" s="11"/>
      <c r="Q20" s="11"/>
      <c r="R20" s="11"/>
      <c r="S20" s="11"/>
      <c r="T20" s="11"/>
      <c r="U20" s="11"/>
      <c r="V20" s="11"/>
      <c r="W20" s="11">
        <v>0</v>
      </c>
      <c r="X20" s="11">
        <v>0</v>
      </c>
      <c r="Y20" s="11">
        <v>0</v>
      </c>
      <c r="Z20" s="11">
        <v>0</v>
      </c>
      <c r="AA20" s="11">
        <v>0</v>
      </c>
      <c r="AB20" s="11">
        <v>0</v>
      </c>
      <c r="AC20" s="11">
        <v>0</v>
      </c>
      <c r="AD20" s="11">
        <v>0</v>
      </c>
      <c r="AE20" s="11">
        <v>0</v>
      </c>
      <c r="AF20" s="11">
        <v>0</v>
      </c>
      <c r="AG20" s="11">
        <v>0</v>
      </c>
      <c r="AH20" s="11">
        <v>0</v>
      </c>
      <c r="AI20" s="10">
        <v>0</v>
      </c>
      <c r="AJ20" s="10">
        <v>0</v>
      </c>
      <c r="AK20" s="11">
        <v>0</v>
      </c>
      <c r="AL20" s="11">
        <v>0</v>
      </c>
      <c r="AM20" s="13" t="s">
        <v>311</v>
      </c>
    </row>
    <row r="21" spans="1:39" x14ac:dyDescent="0.25">
      <c r="A21" s="3">
        <v>10</v>
      </c>
      <c r="B21" s="6" t="s">
        <v>36</v>
      </c>
      <c r="C21" s="3" t="s">
        <v>37</v>
      </c>
      <c r="D21" s="3" t="s">
        <v>38</v>
      </c>
      <c r="E21" s="3" t="s">
        <v>10</v>
      </c>
      <c r="F21" s="3" t="s">
        <v>2</v>
      </c>
      <c r="G21" s="9" t="s">
        <v>270</v>
      </c>
      <c r="H21" s="1"/>
      <c r="I21" s="1"/>
      <c r="J21" s="1"/>
      <c r="K21" s="1"/>
      <c r="L21" s="1"/>
      <c r="M21" s="1"/>
      <c r="N21" s="1"/>
      <c r="O21" s="1"/>
      <c r="P21" s="1"/>
      <c r="Q21" s="1"/>
      <c r="R21" s="1"/>
      <c r="S21" s="1"/>
      <c r="T21" s="1"/>
      <c r="U21" s="1"/>
      <c r="V21" s="1"/>
      <c r="W21" s="1"/>
      <c r="X21" s="1"/>
      <c r="Y21" s="1"/>
      <c r="Z21" s="1"/>
      <c r="AA21" s="1"/>
      <c r="AB21" s="1"/>
      <c r="AC21" s="1"/>
      <c r="AD21" s="1"/>
      <c r="AE21" s="9" t="s">
        <v>0</v>
      </c>
      <c r="AF21" s="1" t="s">
        <v>318</v>
      </c>
      <c r="AG21" s="1" t="s">
        <v>317</v>
      </c>
      <c r="AH21" s="1" t="s">
        <v>316</v>
      </c>
      <c r="AI21" s="9" t="s">
        <v>315</v>
      </c>
      <c r="AJ21" s="9" t="s">
        <v>314</v>
      </c>
      <c r="AK21" s="1" t="s">
        <v>313</v>
      </c>
      <c r="AL21" s="1" t="s">
        <v>0</v>
      </c>
      <c r="AM21" s="12"/>
    </row>
    <row r="22" spans="1:39" x14ac:dyDescent="0.25">
      <c r="A22" s="3">
        <v>10</v>
      </c>
      <c r="B22" s="6" t="s">
        <v>36</v>
      </c>
      <c r="C22" s="3" t="s">
        <v>37</v>
      </c>
      <c r="D22" s="3" t="s">
        <v>38</v>
      </c>
      <c r="E22" s="3" t="s">
        <v>10</v>
      </c>
      <c r="F22" s="4" t="s">
        <v>1</v>
      </c>
      <c r="G22" s="10"/>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0"/>
      <c r="AJ22" s="10"/>
      <c r="AK22" s="11"/>
      <c r="AL22" s="11"/>
      <c r="AM22" s="13"/>
    </row>
    <row r="23" spans="1:39" x14ac:dyDescent="0.25">
      <c r="A23" s="3">
        <v>11</v>
      </c>
      <c r="B23" s="6" t="s">
        <v>39</v>
      </c>
      <c r="C23" s="3" t="s">
        <v>40</v>
      </c>
      <c r="D23" s="3" t="s">
        <v>41</v>
      </c>
      <c r="E23" s="3" t="s">
        <v>10</v>
      </c>
      <c r="F23" s="3" t="s">
        <v>2</v>
      </c>
      <c r="G23" s="9" t="s">
        <v>270</v>
      </c>
      <c r="H23" s="1"/>
      <c r="I23" s="1"/>
      <c r="J23" s="1"/>
      <c r="K23" s="1"/>
      <c r="L23" s="1"/>
      <c r="M23" s="1"/>
      <c r="N23" s="1"/>
      <c r="O23" s="1"/>
      <c r="P23" s="1"/>
      <c r="Q23" s="1"/>
      <c r="R23" s="1"/>
      <c r="S23" s="1"/>
      <c r="T23" s="1"/>
      <c r="U23" s="1"/>
      <c r="V23" s="1"/>
      <c r="W23" s="1"/>
      <c r="X23" s="1"/>
      <c r="Y23" s="1"/>
      <c r="Z23" s="1"/>
      <c r="AA23" s="1"/>
      <c r="AB23" s="1"/>
      <c r="AC23" s="1"/>
      <c r="AD23" s="1"/>
      <c r="AE23" s="9" t="s">
        <v>0</v>
      </c>
      <c r="AF23" s="1"/>
      <c r="AG23" s="1"/>
      <c r="AH23" s="1" t="s">
        <v>323</v>
      </c>
      <c r="AI23" s="9" t="s">
        <v>322</v>
      </c>
      <c r="AJ23" s="9" t="s">
        <v>321</v>
      </c>
      <c r="AK23" s="1" t="s">
        <v>320</v>
      </c>
      <c r="AL23" s="1" t="s">
        <v>319</v>
      </c>
      <c r="AM23" s="12"/>
    </row>
    <row r="24" spans="1:39" x14ac:dyDescent="0.25">
      <c r="A24" s="3">
        <v>11</v>
      </c>
      <c r="B24" s="6" t="s">
        <v>39</v>
      </c>
      <c r="C24" s="3" t="s">
        <v>40</v>
      </c>
      <c r="D24" s="3" t="s">
        <v>41</v>
      </c>
      <c r="E24" s="3" t="s">
        <v>10</v>
      </c>
      <c r="F24" s="4" t="s">
        <v>1</v>
      </c>
      <c r="G24" s="10"/>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0"/>
      <c r="AJ24" s="10"/>
      <c r="AK24" s="11"/>
      <c r="AL24" s="11"/>
      <c r="AM24" s="13"/>
    </row>
    <row r="25" spans="1:39" x14ac:dyDescent="0.25">
      <c r="A25" s="3">
        <v>12</v>
      </c>
      <c r="B25" s="6" t="s">
        <v>42</v>
      </c>
      <c r="C25" s="3" t="s">
        <v>43</v>
      </c>
      <c r="D25" s="3" t="s">
        <v>44</v>
      </c>
      <c r="E25" s="3" t="s">
        <v>10</v>
      </c>
      <c r="F25" s="3" t="s">
        <v>2</v>
      </c>
      <c r="G25" s="9" t="s">
        <v>272</v>
      </c>
      <c r="H25" s="1"/>
      <c r="I25" s="1"/>
      <c r="J25" s="1"/>
      <c r="K25" s="1"/>
      <c r="L25" s="1"/>
      <c r="M25" s="1"/>
      <c r="N25" s="1"/>
      <c r="O25" s="1"/>
      <c r="P25" s="1"/>
      <c r="Q25" s="1"/>
      <c r="R25" s="1"/>
      <c r="S25" s="1"/>
      <c r="T25" s="1"/>
      <c r="U25" s="1"/>
      <c r="V25" s="1"/>
      <c r="W25" s="9" t="s">
        <v>0</v>
      </c>
      <c r="X25" s="1" t="s">
        <v>333</v>
      </c>
      <c r="Y25" s="9" t="s">
        <v>334</v>
      </c>
      <c r="Z25" s="1" t="s">
        <v>335</v>
      </c>
      <c r="AA25" s="9" t="s">
        <v>336</v>
      </c>
      <c r="AB25" s="1" t="s">
        <v>332</v>
      </c>
      <c r="AC25" s="9" t="s">
        <v>331</v>
      </c>
      <c r="AD25" s="9" t="s">
        <v>324</v>
      </c>
      <c r="AE25" s="9"/>
      <c r="AF25" s="9" t="s">
        <v>327</v>
      </c>
      <c r="AG25" s="9" t="s">
        <v>328</v>
      </c>
      <c r="AH25" s="9" t="s">
        <v>329</v>
      </c>
      <c r="AI25" s="9" t="s">
        <v>330</v>
      </c>
      <c r="AJ25" s="9" t="s">
        <v>326</v>
      </c>
      <c r="AK25" s="9" t="s">
        <v>325</v>
      </c>
      <c r="AL25" s="9" t="s">
        <v>324</v>
      </c>
      <c r="AM25" s="12"/>
    </row>
    <row r="26" spans="1:39" x14ac:dyDescent="0.25">
      <c r="A26" s="3">
        <v>12</v>
      </c>
      <c r="B26" s="6" t="s">
        <v>42</v>
      </c>
      <c r="C26" s="3" t="s">
        <v>43</v>
      </c>
      <c r="D26" s="3" t="s">
        <v>44</v>
      </c>
      <c r="E26" s="3" t="s">
        <v>10</v>
      </c>
      <c r="F26" s="4" t="s">
        <v>1</v>
      </c>
      <c r="G26" s="10"/>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0"/>
      <c r="AJ26" s="10"/>
      <c r="AK26" s="11"/>
      <c r="AL26" s="11"/>
      <c r="AM26" s="13"/>
    </row>
    <row r="27" spans="1:39" x14ac:dyDescent="0.25">
      <c r="A27" s="3">
        <v>13</v>
      </c>
      <c r="B27" s="6" t="s">
        <v>45</v>
      </c>
      <c r="C27" s="3" t="s">
        <v>46</v>
      </c>
      <c r="D27" s="3" t="s">
        <v>47</v>
      </c>
      <c r="E27" s="3" t="s">
        <v>23</v>
      </c>
      <c r="F27" s="3" t="s">
        <v>2</v>
      </c>
      <c r="G27" s="9" t="s">
        <v>324</v>
      </c>
      <c r="H27" s="1"/>
      <c r="I27" s="1"/>
      <c r="J27" s="1"/>
      <c r="K27" s="1"/>
      <c r="L27" s="1"/>
      <c r="M27" s="1"/>
      <c r="N27" s="1"/>
      <c r="O27" s="1"/>
      <c r="P27" s="1"/>
      <c r="Q27" s="1"/>
      <c r="R27" s="1"/>
      <c r="S27" s="1"/>
      <c r="T27" s="1"/>
      <c r="U27" s="1"/>
      <c r="V27" s="1"/>
      <c r="W27" s="9"/>
      <c r="X27" s="1"/>
      <c r="Y27" s="9"/>
      <c r="Z27" s="1"/>
      <c r="AA27" s="9"/>
      <c r="AB27" s="1"/>
      <c r="AC27" s="9"/>
      <c r="AD27" s="9"/>
      <c r="AE27" s="9"/>
      <c r="AF27" s="9" t="s">
        <v>339</v>
      </c>
      <c r="AG27" s="9" t="s">
        <v>340</v>
      </c>
      <c r="AH27" s="9" t="s">
        <v>341</v>
      </c>
      <c r="AI27" s="9" t="s">
        <v>342</v>
      </c>
      <c r="AJ27" s="9" t="s">
        <v>338</v>
      </c>
      <c r="AK27" s="9" t="s">
        <v>337</v>
      </c>
      <c r="AL27" s="9" t="s">
        <v>324</v>
      </c>
      <c r="AM27" s="12"/>
    </row>
    <row r="28" spans="1:39" x14ac:dyDescent="0.25">
      <c r="A28" s="3">
        <v>13</v>
      </c>
      <c r="B28" s="6" t="s">
        <v>45</v>
      </c>
      <c r="C28" s="3" t="s">
        <v>46</v>
      </c>
      <c r="D28" s="3" t="s">
        <v>47</v>
      </c>
      <c r="E28" s="3" t="s">
        <v>23</v>
      </c>
      <c r="F28" s="4" t="s">
        <v>1</v>
      </c>
      <c r="G28" s="10"/>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0"/>
      <c r="AJ28" s="10"/>
      <c r="AK28" s="11"/>
      <c r="AL28" s="11"/>
      <c r="AM28" s="13"/>
    </row>
    <row r="29" spans="1:39" x14ac:dyDescent="0.25">
      <c r="A29" s="3">
        <v>14</v>
      </c>
      <c r="B29" s="6" t="s">
        <v>48</v>
      </c>
      <c r="C29" s="3" t="s">
        <v>49</v>
      </c>
      <c r="D29" s="3" t="s">
        <v>50</v>
      </c>
      <c r="E29" s="3" t="s">
        <v>10</v>
      </c>
      <c r="F29" s="3" t="s">
        <v>2</v>
      </c>
      <c r="G29" s="9" t="s">
        <v>270</v>
      </c>
      <c r="H29" s="1"/>
      <c r="I29" s="1"/>
      <c r="J29" s="1"/>
      <c r="K29" s="1"/>
      <c r="L29" s="1"/>
      <c r="M29" s="1"/>
      <c r="N29" s="1"/>
      <c r="O29" s="1"/>
      <c r="P29" s="1"/>
      <c r="Q29" s="1"/>
      <c r="R29" s="1"/>
      <c r="S29" s="1"/>
      <c r="T29" s="1"/>
      <c r="U29" s="1"/>
      <c r="V29" s="1"/>
      <c r="W29" s="1"/>
      <c r="X29" s="1"/>
      <c r="Y29" s="1"/>
      <c r="Z29" s="1"/>
      <c r="AA29" s="1"/>
      <c r="AB29" s="1"/>
      <c r="AC29" s="1"/>
      <c r="AD29" s="1"/>
      <c r="AE29" s="9" t="s">
        <v>0</v>
      </c>
      <c r="AF29" s="1"/>
      <c r="AG29" s="1"/>
      <c r="AH29" s="1"/>
      <c r="AI29" s="9" t="s">
        <v>346</v>
      </c>
      <c r="AJ29" s="9" t="s">
        <v>345</v>
      </c>
      <c r="AK29" s="1" t="s">
        <v>344</v>
      </c>
      <c r="AL29" s="1" t="s">
        <v>343</v>
      </c>
      <c r="AM29" s="12"/>
    </row>
    <row r="30" spans="1:39" x14ac:dyDescent="0.25">
      <c r="A30" s="3">
        <v>14</v>
      </c>
      <c r="B30" s="6" t="s">
        <v>48</v>
      </c>
      <c r="C30" s="3" t="s">
        <v>49</v>
      </c>
      <c r="D30" s="3" t="s">
        <v>50</v>
      </c>
      <c r="E30" s="3" t="s">
        <v>10</v>
      </c>
      <c r="F30" s="4" t="s">
        <v>1</v>
      </c>
      <c r="G30" s="10"/>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0"/>
      <c r="AJ30" s="10"/>
      <c r="AK30" s="11"/>
      <c r="AL30" s="11"/>
      <c r="AM30" s="13"/>
    </row>
    <row r="31" spans="1:39" x14ac:dyDescent="0.25">
      <c r="A31" s="3">
        <v>15</v>
      </c>
      <c r="B31" s="6" t="s">
        <v>51</v>
      </c>
      <c r="C31" s="3" t="s">
        <v>52</v>
      </c>
      <c r="D31" s="3" t="s">
        <v>53</v>
      </c>
      <c r="E31" s="3" t="s">
        <v>10</v>
      </c>
      <c r="F31" s="3" t="s">
        <v>2</v>
      </c>
      <c r="G31" s="9" t="s">
        <v>270</v>
      </c>
      <c r="H31" s="1"/>
      <c r="I31" s="1"/>
      <c r="J31" s="1"/>
      <c r="K31" s="1"/>
      <c r="L31" s="1"/>
      <c r="M31" s="1"/>
      <c r="N31" s="1"/>
      <c r="O31" s="1"/>
      <c r="P31" s="1"/>
      <c r="Q31" s="1"/>
      <c r="R31" s="1"/>
      <c r="S31" s="1"/>
      <c r="T31" s="1"/>
      <c r="U31" s="1"/>
      <c r="V31" s="1"/>
      <c r="W31" s="1"/>
      <c r="X31" s="1"/>
      <c r="Y31" s="1"/>
      <c r="Z31" s="1"/>
      <c r="AA31" s="1"/>
      <c r="AB31" s="1"/>
      <c r="AC31" s="1"/>
      <c r="AD31" s="1"/>
      <c r="AE31" s="9" t="s">
        <v>0</v>
      </c>
      <c r="AF31" s="1"/>
      <c r="AG31" s="1"/>
      <c r="AH31" s="1"/>
      <c r="AI31" s="9" t="s">
        <v>348</v>
      </c>
      <c r="AJ31" s="1" t="s">
        <v>347</v>
      </c>
      <c r="AK31" s="1"/>
      <c r="AL31" s="1"/>
      <c r="AM31" s="12"/>
    </row>
    <row r="32" spans="1:39" x14ac:dyDescent="0.25">
      <c r="A32" s="3">
        <v>15</v>
      </c>
      <c r="B32" s="6" t="s">
        <v>51</v>
      </c>
      <c r="C32" s="3" t="s">
        <v>52</v>
      </c>
      <c r="D32" s="3" t="s">
        <v>53</v>
      </c>
      <c r="E32" s="3" t="s">
        <v>10</v>
      </c>
      <c r="F32" s="4" t="s">
        <v>1</v>
      </c>
      <c r="G32" s="10"/>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0"/>
      <c r="AJ32" s="10"/>
      <c r="AK32" s="11"/>
      <c r="AL32" s="11"/>
      <c r="AM32" s="13"/>
    </row>
    <row r="33" spans="1:39" x14ac:dyDescent="0.25">
      <c r="A33" s="3">
        <v>16</v>
      </c>
      <c r="B33" s="6" t="s">
        <v>54</v>
      </c>
      <c r="C33" s="3" t="s">
        <v>55</v>
      </c>
      <c r="D33" s="3" t="s">
        <v>56</v>
      </c>
      <c r="E33" s="3" t="s">
        <v>10</v>
      </c>
      <c r="F33" s="3" t="s">
        <v>2</v>
      </c>
      <c r="G33" s="9" t="s">
        <v>272</v>
      </c>
      <c r="H33" s="1"/>
      <c r="I33" s="1"/>
      <c r="J33" s="1"/>
      <c r="K33" s="1"/>
      <c r="L33" s="1"/>
      <c r="M33" s="1"/>
      <c r="N33" s="1"/>
      <c r="O33" s="1"/>
      <c r="P33" s="1"/>
      <c r="Q33" s="1"/>
      <c r="R33" s="1"/>
      <c r="S33" s="1"/>
      <c r="T33" s="1"/>
      <c r="U33" s="1"/>
      <c r="V33" s="1"/>
      <c r="W33" s="9" t="s">
        <v>0</v>
      </c>
      <c r="X33" s="1"/>
      <c r="Y33" s="9"/>
      <c r="Z33" s="1"/>
      <c r="AA33" s="9"/>
      <c r="AB33" s="1"/>
      <c r="AC33" s="9" t="s">
        <v>349</v>
      </c>
      <c r="AD33" s="9" t="s">
        <v>350</v>
      </c>
      <c r="AE33" s="9" t="s">
        <v>351</v>
      </c>
      <c r="AF33" s="9" t="s">
        <v>352</v>
      </c>
      <c r="AG33" s="9" t="s">
        <v>353</v>
      </c>
      <c r="AH33" s="9" t="s">
        <v>354</v>
      </c>
      <c r="AI33" s="9" t="s">
        <v>355</v>
      </c>
      <c r="AJ33" s="9" t="s">
        <v>356</v>
      </c>
      <c r="AK33" s="9" t="s">
        <v>357</v>
      </c>
      <c r="AL33" s="9" t="s">
        <v>324</v>
      </c>
      <c r="AM33" s="12"/>
    </row>
    <row r="34" spans="1:39" x14ac:dyDescent="0.25">
      <c r="A34" s="3">
        <v>16</v>
      </c>
      <c r="B34" s="6" t="s">
        <v>54</v>
      </c>
      <c r="C34" s="3" t="s">
        <v>55</v>
      </c>
      <c r="D34" s="3" t="s">
        <v>56</v>
      </c>
      <c r="E34" s="3" t="s">
        <v>10</v>
      </c>
      <c r="F34" s="4" t="s">
        <v>1</v>
      </c>
      <c r="G34" s="10"/>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0"/>
      <c r="AJ34" s="10"/>
      <c r="AK34" s="11"/>
      <c r="AL34" s="11"/>
      <c r="AM34" s="13"/>
    </row>
    <row r="35" spans="1:39" x14ac:dyDescent="0.25">
      <c r="A35" s="3">
        <v>17</v>
      </c>
      <c r="B35" s="6" t="s">
        <v>57</v>
      </c>
      <c r="C35" s="3" t="s">
        <v>58</v>
      </c>
      <c r="D35" s="3" t="s">
        <v>59</v>
      </c>
      <c r="E35" s="3" t="s">
        <v>10</v>
      </c>
      <c r="F35" s="3" t="s">
        <v>2</v>
      </c>
      <c r="G35" s="9" t="s">
        <v>272</v>
      </c>
      <c r="H35" s="1"/>
      <c r="I35" s="1"/>
      <c r="J35" s="1"/>
      <c r="K35" s="1"/>
      <c r="L35" s="1"/>
      <c r="M35" s="1"/>
      <c r="N35" s="1"/>
      <c r="O35" s="1"/>
      <c r="P35" s="1"/>
      <c r="Q35" s="1"/>
      <c r="R35" s="1"/>
      <c r="S35" s="1"/>
      <c r="T35" s="1"/>
      <c r="U35" s="1"/>
      <c r="V35" s="1"/>
      <c r="W35" s="9" t="s">
        <v>0</v>
      </c>
      <c r="X35" s="1"/>
      <c r="Y35" s="9"/>
      <c r="Z35" s="1"/>
      <c r="AA35" s="9"/>
      <c r="AB35" s="1"/>
      <c r="AC35" s="9" t="s">
        <v>358</v>
      </c>
      <c r="AD35" s="9" t="s">
        <v>359</v>
      </c>
      <c r="AE35" s="9" t="s">
        <v>360</v>
      </c>
      <c r="AF35" s="9" t="s">
        <v>361</v>
      </c>
      <c r="AG35" s="9" t="s">
        <v>362</v>
      </c>
      <c r="AH35" s="9" t="s">
        <v>363</v>
      </c>
      <c r="AI35" s="9" t="s">
        <v>364</v>
      </c>
      <c r="AJ35" s="9" t="s">
        <v>365</v>
      </c>
      <c r="AK35" s="9" t="s">
        <v>366</v>
      </c>
      <c r="AL35" s="9" t="s">
        <v>324</v>
      </c>
      <c r="AM35" s="12"/>
    </row>
    <row r="36" spans="1:39" x14ac:dyDescent="0.25">
      <c r="A36" s="3">
        <v>17</v>
      </c>
      <c r="B36" s="6" t="s">
        <v>57</v>
      </c>
      <c r="C36" s="3" t="s">
        <v>58</v>
      </c>
      <c r="D36" s="3" t="s">
        <v>59</v>
      </c>
      <c r="E36" s="3" t="s">
        <v>10</v>
      </c>
      <c r="F36" s="4" t="s">
        <v>1</v>
      </c>
      <c r="G36" s="10"/>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0"/>
      <c r="AJ36" s="10"/>
      <c r="AK36" s="11"/>
      <c r="AL36" s="11"/>
      <c r="AM36" s="13"/>
    </row>
    <row r="37" spans="1:39" x14ac:dyDescent="0.25">
      <c r="A37" s="3">
        <v>18</v>
      </c>
      <c r="B37" s="6" t="s">
        <v>60</v>
      </c>
      <c r="C37" s="3" t="s">
        <v>61</v>
      </c>
      <c r="D37" s="3" t="s">
        <v>62</v>
      </c>
      <c r="E37" s="3" t="s">
        <v>10</v>
      </c>
      <c r="F37" s="3" t="s">
        <v>2</v>
      </c>
      <c r="G37" s="9" t="s">
        <v>270</v>
      </c>
      <c r="H37" s="1"/>
      <c r="I37" s="1"/>
      <c r="J37" s="1"/>
      <c r="K37" s="1"/>
      <c r="L37" s="1"/>
      <c r="M37" s="1"/>
      <c r="N37" s="1"/>
      <c r="O37" s="1"/>
      <c r="P37" s="1"/>
      <c r="Q37" s="1"/>
      <c r="R37" s="1"/>
      <c r="S37" s="1"/>
      <c r="T37" s="1"/>
      <c r="U37" s="1"/>
      <c r="V37" s="1"/>
      <c r="W37" s="1"/>
      <c r="X37" s="1"/>
      <c r="Y37" s="1"/>
      <c r="Z37" s="1"/>
      <c r="AA37" s="1"/>
      <c r="AB37" s="1"/>
      <c r="AC37" s="1"/>
      <c r="AD37" s="1"/>
      <c r="AE37" s="9" t="s">
        <v>0</v>
      </c>
      <c r="AF37" s="1" t="s">
        <v>367</v>
      </c>
      <c r="AG37" s="1" t="s">
        <v>368</v>
      </c>
      <c r="AH37" s="1" t="s">
        <v>369</v>
      </c>
      <c r="AI37" s="9" t="s">
        <v>370</v>
      </c>
      <c r="AJ37" s="1" t="s">
        <v>371</v>
      </c>
      <c r="AK37" s="1" t="s">
        <v>372</v>
      </c>
      <c r="AL37" s="1" t="s">
        <v>324</v>
      </c>
      <c r="AM37" s="12"/>
    </row>
    <row r="38" spans="1:39" x14ac:dyDescent="0.25">
      <c r="A38" s="3">
        <v>18</v>
      </c>
      <c r="B38" s="6" t="s">
        <v>60</v>
      </c>
      <c r="C38" s="3" t="s">
        <v>61</v>
      </c>
      <c r="D38" s="3" t="s">
        <v>62</v>
      </c>
      <c r="E38" s="3" t="s">
        <v>10</v>
      </c>
      <c r="F38" s="4" t="s">
        <v>1</v>
      </c>
      <c r="G38" s="10"/>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0"/>
      <c r="AJ38" s="10"/>
      <c r="AK38" s="11"/>
      <c r="AL38" s="11"/>
      <c r="AM38" s="13"/>
    </row>
    <row r="39" spans="1:39" x14ac:dyDescent="0.25">
      <c r="A39" s="3">
        <v>19</v>
      </c>
      <c r="B39" s="6" t="s">
        <v>63</v>
      </c>
      <c r="C39" s="3" t="s">
        <v>64</v>
      </c>
      <c r="D39" s="3" t="s">
        <v>65</v>
      </c>
      <c r="E39" s="3" t="s">
        <v>10</v>
      </c>
      <c r="F39" s="3" t="s">
        <v>2</v>
      </c>
      <c r="G39" s="9" t="s">
        <v>270</v>
      </c>
      <c r="H39" s="1"/>
      <c r="I39" s="1"/>
      <c r="J39" s="1"/>
      <c r="K39" s="1"/>
      <c r="L39" s="1"/>
      <c r="M39" s="1"/>
      <c r="N39" s="1"/>
      <c r="O39" s="1"/>
      <c r="P39" s="1"/>
      <c r="Q39" s="1"/>
      <c r="R39" s="1"/>
      <c r="S39" s="1"/>
      <c r="T39" s="1"/>
      <c r="U39" s="1"/>
      <c r="V39" s="1"/>
      <c r="W39" s="1"/>
      <c r="X39" s="1"/>
      <c r="Y39" s="1"/>
      <c r="Z39" s="1"/>
      <c r="AA39" s="1"/>
      <c r="AB39" s="1"/>
      <c r="AC39" s="1"/>
      <c r="AD39" s="1"/>
      <c r="AE39" s="9" t="s">
        <v>0</v>
      </c>
      <c r="AF39" s="1"/>
      <c r="AG39" s="1"/>
      <c r="AH39" s="1"/>
      <c r="AI39" s="9"/>
      <c r="AJ39" s="1" t="s">
        <v>373</v>
      </c>
      <c r="AK39" s="1"/>
      <c r="AL39" s="1"/>
      <c r="AM39" s="12"/>
    </row>
    <row r="40" spans="1:39" x14ac:dyDescent="0.25">
      <c r="A40" s="3">
        <v>19</v>
      </c>
      <c r="B40" s="6" t="s">
        <v>63</v>
      </c>
      <c r="C40" s="3" t="s">
        <v>64</v>
      </c>
      <c r="D40" s="3" t="s">
        <v>65</v>
      </c>
      <c r="E40" s="3" t="s">
        <v>10</v>
      </c>
      <c r="F40" s="4" t="s">
        <v>1</v>
      </c>
      <c r="G40" s="10"/>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0"/>
      <c r="AJ40" s="10"/>
      <c r="AK40" s="11"/>
      <c r="AL40" s="11"/>
      <c r="AM40" s="13"/>
    </row>
    <row r="41" spans="1:39" x14ac:dyDescent="0.25">
      <c r="A41" s="3">
        <v>20</v>
      </c>
      <c r="B41" s="6" t="s">
        <v>66</v>
      </c>
      <c r="C41" s="3" t="s">
        <v>67</v>
      </c>
      <c r="D41" s="3" t="s">
        <v>68</v>
      </c>
      <c r="E41" s="3" t="s">
        <v>10</v>
      </c>
      <c r="F41" s="3" t="s">
        <v>2</v>
      </c>
      <c r="G41" s="9" t="s">
        <v>270</v>
      </c>
      <c r="H41" s="1"/>
      <c r="I41" s="1"/>
      <c r="J41" s="1"/>
      <c r="K41" s="1"/>
      <c r="L41" s="1"/>
      <c r="M41" s="1"/>
      <c r="N41" s="1"/>
      <c r="O41" s="1"/>
      <c r="P41" s="1"/>
      <c r="Q41" s="1"/>
      <c r="R41" s="1"/>
      <c r="S41" s="1"/>
      <c r="T41" s="1"/>
      <c r="U41" s="1"/>
      <c r="V41" s="1"/>
      <c r="W41" s="1"/>
      <c r="X41" s="1"/>
      <c r="Y41" s="1"/>
      <c r="Z41" s="1"/>
      <c r="AA41" s="1"/>
      <c r="AB41" s="1"/>
      <c r="AC41" s="1"/>
      <c r="AD41" s="1"/>
      <c r="AE41" s="9" t="s">
        <v>0</v>
      </c>
      <c r="AF41" s="1"/>
      <c r="AG41" s="1"/>
      <c r="AH41" s="1"/>
      <c r="AI41" s="9"/>
      <c r="AJ41" s="1"/>
      <c r="AK41" s="1"/>
      <c r="AL41" s="1" t="s">
        <v>374</v>
      </c>
      <c r="AM41" s="12"/>
    </row>
    <row r="42" spans="1:39" x14ac:dyDescent="0.25">
      <c r="A42" s="3">
        <v>20</v>
      </c>
      <c r="B42" s="6" t="s">
        <v>66</v>
      </c>
      <c r="C42" s="3" t="s">
        <v>67</v>
      </c>
      <c r="D42" s="3" t="s">
        <v>68</v>
      </c>
      <c r="E42" s="3" t="s">
        <v>10</v>
      </c>
      <c r="F42" s="4" t="s">
        <v>1</v>
      </c>
      <c r="G42" s="10"/>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0"/>
      <c r="AJ42" s="10"/>
      <c r="AK42" s="11"/>
      <c r="AL42" s="11"/>
      <c r="AM42" s="13"/>
    </row>
    <row r="43" spans="1:39" x14ac:dyDescent="0.25">
      <c r="A43" s="3">
        <v>21</v>
      </c>
      <c r="B43" s="6" t="s">
        <v>69</v>
      </c>
      <c r="C43" s="3" t="s">
        <v>70</v>
      </c>
      <c r="D43" s="3" t="s">
        <v>71</v>
      </c>
      <c r="E43" s="3" t="s">
        <v>10</v>
      </c>
      <c r="F43" s="3" t="s">
        <v>2</v>
      </c>
      <c r="G43" s="9" t="s">
        <v>270</v>
      </c>
      <c r="H43" s="1"/>
      <c r="I43" s="1"/>
      <c r="J43" s="1"/>
      <c r="K43" s="1"/>
      <c r="L43" s="1"/>
      <c r="M43" s="1"/>
      <c r="N43" s="1"/>
      <c r="O43" s="1"/>
      <c r="P43" s="1"/>
      <c r="Q43" s="1"/>
      <c r="R43" s="1"/>
      <c r="S43" s="1"/>
      <c r="T43" s="1"/>
      <c r="U43" s="1"/>
      <c r="V43" s="1"/>
      <c r="W43" s="1"/>
      <c r="X43" s="1"/>
      <c r="Y43" s="1"/>
      <c r="Z43" s="1"/>
      <c r="AA43" s="1"/>
      <c r="AB43" s="1"/>
      <c r="AC43" s="1"/>
      <c r="AD43" s="1"/>
      <c r="AE43" s="9" t="s">
        <v>0</v>
      </c>
      <c r="AF43" s="1"/>
      <c r="AG43" s="1"/>
      <c r="AH43" s="1"/>
      <c r="AI43" s="9"/>
      <c r="AJ43" s="1"/>
      <c r="AK43" s="1"/>
      <c r="AL43" s="1" t="s">
        <v>375</v>
      </c>
      <c r="AM43" s="12"/>
    </row>
    <row r="44" spans="1:39" x14ac:dyDescent="0.25">
      <c r="A44" s="3">
        <v>21</v>
      </c>
      <c r="B44" s="6" t="s">
        <v>69</v>
      </c>
      <c r="C44" s="3" t="s">
        <v>70</v>
      </c>
      <c r="D44" s="3" t="s">
        <v>71</v>
      </c>
      <c r="E44" s="3" t="s">
        <v>10</v>
      </c>
      <c r="F44" s="4" t="s">
        <v>1</v>
      </c>
      <c r="G44" s="10"/>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0"/>
      <c r="AJ44" s="10"/>
      <c r="AK44" s="11"/>
      <c r="AL44" s="11"/>
      <c r="AM44" s="13"/>
    </row>
    <row r="45" spans="1:39" x14ac:dyDescent="0.25">
      <c r="A45" s="3">
        <v>22</v>
      </c>
      <c r="B45" s="6" t="s">
        <v>72</v>
      </c>
      <c r="C45" s="3" t="s">
        <v>73</v>
      </c>
      <c r="D45" s="3" t="s">
        <v>74</v>
      </c>
      <c r="E45" s="3" t="s">
        <v>10</v>
      </c>
      <c r="F45" s="3" t="s">
        <v>2</v>
      </c>
      <c r="G45" s="9" t="s">
        <v>270</v>
      </c>
      <c r="H45" s="1"/>
      <c r="I45" s="1"/>
      <c r="J45" s="1"/>
      <c r="K45" s="1"/>
      <c r="L45" s="1"/>
      <c r="M45" s="1"/>
      <c r="N45" s="1"/>
      <c r="O45" s="1"/>
      <c r="P45" s="1"/>
      <c r="Q45" s="1"/>
      <c r="R45" s="1"/>
      <c r="S45" s="1"/>
      <c r="T45" s="1"/>
      <c r="U45" s="1"/>
      <c r="V45" s="1"/>
      <c r="W45" s="1"/>
      <c r="X45" s="1"/>
      <c r="Y45" s="1"/>
      <c r="Z45" s="1"/>
      <c r="AA45" s="1"/>
      <c r="AB45" s="1"/>
      <c r="AC45" s="1"/>
      <c r="AD45" s="1"/>
      <c r="AE45" s="9" t="s">
        <v>0</v>
      </c>
      <c r="AF45" s="1"/>
      <c r="AG45" s="1"/>
      <c r="AH45" s="1"/>
      <c r="AI45" s="9"/>
      <c r="AJ45" s="1"/>
      <c r="AK45" s="1"/>
      <c r="AL45" s="1" t="s">
        <v>376</v>
      </c>
      <c r="AM45" s="12"/>
    </row>
    <row r="46" spans="1:39" x14ac:dyDescent="0.25">
      <c r="A46" s="3">
        <v>22</v>
      </c>
      <c r="B46" s="6" t="s">
        <v>72</v>
      </c>
      <c r="C46" s="3" t="s">
        <v>73</v>
      </c>
      <c r="D46" s="3" t="s">
        <v>74</v>
      </c>
      <c r="E46" s="3" t="s">
        <v>10</v>
      </c>
      <c r="F46" s="4" t="s">
        <v>1</v>
      </c>
      <c r="G46" s="10"/>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0"/>
      <c r="AJ46" s="10"/>
      <c r="AK46" s="11"/>
      <c r="AL46" s="11"/>
      <c r="AM46" s="13"/>
    </row>
    <row r="47" spans="1:39" x14ac:dyDescent="0.25">
      <c r="A47" s="3">
        <v>23</v>
      </c>
      <c r="B47" s="6" t="s">
        <v>75</v>
      </c>
      <c r="C47" s="3" t="s">
        <v>76</v>
      </c>
      <c r="D47" s="3" t="s">
        <v>77</v>
      </c>
      <c r="E47" s="3" t="s">
        <v>10</v>
      </c>
      <c r="F47" s="3" t="s">
        <v>2</v>
      </c>
      <c r="G47" s="9" t="s">
        <v>272</v>
      </c>
      <c r="H47" s="1"/>
      <c r="I47" s="1"/>
      <c r="J47" s="1"/>
      <c r="K47" s="1"/>
      <c r="L47" s="1"/>
      <c r="M47" s="1"/>
      <c r="N47" s="1"/>
      <c r="O47" s="1"/>
      <c r="P47" s="1"/>
      <c r="Q47" s="1"/>
      <c r="R47" s="1"/>
      <c r="S47" s="1"/>
      <c r="T47" s="1"/>
      <c r="U47" s="1"/>
      <c r="V47" s="1"/>
      <c r="W47" s="9" t="s">
        <v>378</v>
      </c>
      <c r="X47" s="1"/>
      <c r="Y47" s="9"/>
      <c r="Z47" s="1"/>
      <c r="AA47" s="9"/>
      <c r="AB47" s="1"/>
      <c r="AC47" s="9"/>
      <c r="AD47" s="9"/>
      <c r="AE47" s="9"/>
      <c r="AF47" s="9"/>
      <c r="AG47" s="9"/>
      <c r="AH47" s="9"/>
      <c r="AI47" s="9"/>
      <c r="AJ47" s="9"/>
      <c r="AK47" s="9"/>
      <c r="AL47" s="9"/>
      <c r="AM47" s="12"/>
    </row>
    <row r="48" spans="1:39" x14ac:dyDescent="0.25">
      <c r="A48" s="3">
        <v>23</v>
      </c>
      <c r="B48" s="6" t="s">
        <v>75</v>
      </c>
      <c r="C48" s="3" t="s">
        <v>76</v>
      </c>
      <c r="D48" s="3" t="s">
        <v>77</v>
      </c>
      <c r="E48" s="3" t="s">
        <v>10</v>
      </c>
      <c r="F48" s="4" t="s">
        <v>1</v>
      </c>
      <c r="G48" s="10"/>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0"/>
      <c r="AJ48" s="10"/>
      <c r="AK48" s="11"/>
      <c r="AL48" s="11"/>
      <c r="AM48" s="13"/>
    </row>
    <row r="49" spans="1:39" x14ac:dyDescent="0.25">
      <c r="A49" s="3">
        <v>24</v>
      </c>
      <c r="B49" s="6" t="s">
        <v>78</v>
      </c>
      <c r="C49" s="3" t="s">
        <v>79</v>
      </c>
      <c r="D49" s="3" t="s">
        <v>80</v>
      </c>
      <c r="E49" s="3" t="s">
        <v>10</v>
      </c>
      <c r="F49" s="3" t="s">
        <v>2</v>
      </c>
      <c r="G49" s="9" t="s">
        <v>324</v>
      </c>
      <c r="H49" s="1"/>
      <c r="I49" s="1"/>
      <c r="J49" s="1"/>
      <c r="K49" s="1"/>
      <c r="L49" s="1"/>
      <c r="M49" s="1"/>
      <c r="N49" s="1"/>
      <c r="O49" s="1"/>
      <c r="P49" s="1"/>
      <c r="Q49" s="1"/>
      <c r="R49" s="1"/>
      <c r="S49" s="1"/>
      <c r="T49" s="1"/>
      <c r="U49" s="1" t="s">
        <v>377</v>
      </c>
      <c r="V49" s="1"/>
      <c r="W49" s="9"/>
      <c r="X49" s="1"/>
      <c r="Y49" s="9"/>
      <c r="Z49" s="1"/>
      <c r="AA49" s="9"/>
      <c r="AB49" s="1"/>
      <c r="AC49" s="9"/>
      <c r="AD49" s="9"/>
      <c r="AE49" s="9"/>
      <c r="AF49" s="9"/>
      <c r="AG49" s="9"/>
      <c r="AH49" s="9"/>
      <c r="AI49" s="9"/>
      <c r="AJ49" s="9"/>
      <c r="AK49" s="9"/>
      <c r="AL49" s="9"/>
      <c r="AM49" s="12"/>
    </row>
    <row r="50" spans="1:39" x14ac:dyDescent="0.25">
      <c r="A50" s="3">
        <v>24</v>
      </c>
      <c r="B50" s="6" t="s">
        <v>78</v>
      </c>
      <c r="C50" s="3" t="s">
        <v>79</v>
      </c>
      <c r="D50" s="3" t="s">
        <v>80</v>
      </c>
      <c r="E50" s="3" t="s">
        <v>10</v>
      </c>
      <c r="F50" s="4" t="s">
        <v>1</v>
      </c>
      <c r="G50" s="10"/>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0"/>
      <c r="AJ50" s="10"/>
      <c r="AK50" s="11"/>
      <c r="AL50" s="11"/>
      <c r="AM50" s="13"/>
    </row>
    <row r="51" spans="1:39" x14ac:dyDescent="0.25">
      <c r="A51" s="3">
        <v>25</v>
      </c>
      <c r="B51" s="6" t="s">
        <v>81</v>
      </c>
      <c r="C51" s="3" t="s">
        <v>82</v>
      </c>
      <c r="D51" s="3" t="s">
        <v>83</v>
      </c>
      <c r="E51" s="3" t="s">
        <v>10</v>
      </c>
      <c r="F51" s="3" t="s">
        <v>2</v>
      </c>
      <c r="G51" s="9" t="s">
        <v>272</v>
      </c>
      <c r="H51" s="1"/>
      <c r="I51" s="1"/>
      <c r="J51" s="1"/>
      <c r="K51" s="1"/>
      <c r="L51" s="1"/>
      <c r="M51" s="1"/>
      <c r="N51" s="1"/>
      <c r="O51" s="1"/>
      <c r="P51" s="1"/>
      <c r="Q51" s="1"/>
      <c r="R51" s="1"/>
      <c r="S51" s="1"/>
      <c r="T51" s="1"/>
      <c r="U51" s="1"/>
      <c r="V51" s="1"/>
      <c r="W51" s="9" t="s">
        <v>380</v>
      </c>
      <c r="X51" s="1"/>
      <c r="Y51" s="9"/>
      <c r="Z51" s="1"/>
      <c r="AA51" s="9"/>
      <c r="AB51" s="1"/>
      <c r="AC51" s="9"/>
      <c r="AD51" s="9"/>
      <c r="AE51" s="9"/>
      <c r="AF51" s="9"/>
      <c r="AG51" s="9"/>
      <c r="AH51" s="9"/>
      <c r="AI51" s="9"/>
      <c r="AJ51" s="9"/>
      <c r="AK51" s="9"/>
      <c r="AL51" s="9"/>
      <c r="AM51" s="12"/>
    </row>
    <row r="52" spans="1:39" x14ac:dyDescent="0.25">
      <c r="A52" s="3">
        <v>25</v>
      </c>
      <c r="B52" s="6" t="s">
        <v>81</v>
      </c>
      <c r="C52" s="3" t="s">
        <v>82</v>
      </c>
      <c r="D52" s="3" t="s">
        <v>83</v>
      </c>
      <c r="E52" s="3" t="s">
        <v>10</v>
      </c>
      <c r="F52" s="4" t="s">
        <v>1</v>
      </c>
      <c r="G52" s="10"/>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0"/>
      <c r="AJ52" s="10"/>
      <c r="AK52" s="11"/>
      <c r="AL52" s="11"/>
      <c r="AM52" s="13"/>
    </row>
    <row r="53" spans="1:39" x14ac:dyDescent="0.25">
      <c r="A53" s="3">
        <v>26</v>
      </c>
      <c r="B53" s="6" t="s">
        <v>84</v>
      </c>
      <c r="C53" s="3" t="s">
        <v>85</v>
      </c>
      <c r="D53" s="3" t="s">
        <v>86</v>
      </c>
      <c r="E53" s="3" t="s">
        <v>10</v>
      </c>
      <c r="F53" s="3" t="s">
        <v>2</v>
      </c>
      <c r="G53" s="9" t="s">
        <v>324</v>
      </c>
      <c r="H53" s="1"/>
      <c r="I53" s="1"/>
      <c r="J53" s="1"/>
      <c r="K53" s="1"/>
      <c r="L53" s="1"/>
      <c r="M53" s="1"/>
      <c r="N53" s="1"/>
      <c r="O53" s="1"/>
      <c r="P53" s="1"/>
      <c r="Q53" s="1"/>
      <c r="R53" s="1"/>
      <c r="S53" s="1"/>
      <c r="T53" s="1"/>
      <c r="U53" s="1" t="s">
        <v>379</v>
      </c>
      <c r="V53" s="1"/>
      <c r="W53" s="9"/>
      <c r="X53" s="1"/>
      <c r="Y53" s="9"/>
      <c r="Z53" s="1"/>
      <c r="AA53" s="9"/>
      <c r="AB53" s="1"/>
      <c r="AC53" s="9"/>
      <c r="AD53" s="9"/>
      <c r="AE53" s="9"/>
      <c r="AF53" s="9"/>
      <c r="AG53" s="9"/>
      <c r="AH53" s="9"/>
      <c r="AI53" s="9"/>
      <c r="AJ53" s="9"/>
      <c r="AK53" s="9"/>
      <c r="AL53" s="9"/>
      <c r="AM53" s="12"/>
    </row>
    <row r="54" spans="1:39" x14ac:dyDescent="0.25">
      <c r="A54" s="3">
        <v>26</v>
      </c>
      <c r="B54" s="6" t="s">
        <v>84</v>
      </c>
      <c r="C54" s="3" t="s">
        <v>85</v>
      </c>
      <c r="D54" s="3" t="s">
        <v>86</v>
      </c>
      <c r="E54" s="3" t="s">
        <v>10</v>
      </c>
      <c r="F54" s="4" t="s">
        <v>1</v>
      </c>
      <c r="G54" s="10"/>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0"/>
      <c r="AJ54" s="10"/>
      <c r="AK54" s="11"/>
      <c r="AL54" s="11"/>
      <c r="AM54" s="13"/>
    </row>
    <row r="55" spans="1:39" x14ac:dyDescent="0.25">
      <c r="A55" s="3">
        <v>27</v>
      </c>
      <c r="B55" s="6" t="s">
        <v>87</v>
      </c>
      <c r="C55" s="3" t="s">
        <v>88</v>
      </c>
      <c r="D55" s="3" t="s">
        <v>89</v>
      </c>
      <c r="E55" s="3" t="s">
        <v>23</v>
      </c>
      <c r="F55" s="3" t="s">
        <v>2</v>
      </c>
      <c r="G55" s="9" t="s">
        <v>272</v>
      </c>
      <c r="H55" s="1"/>
      <c r="I55" s="1"/>
      <c r="J55" s="1"/>
      <c r="K55" s="1"/>
      <c r="L55" s="1"/>
      <c r="M55" s="1"/>
      <c r="N55" s="1"/>
      <c r="O55" s="1"/>
      <c r="P55" s="1"/>
      <c r="Q55" s="1"/>
      <c r="R55" s="1"/>
      <c r="S55" s="1"/>
      <c r="T55" s="1"/>
      <c r="U55" s="1"/>
      <c r="V55" s="1"/>
      <c r="W55" s="9" t="s">
        <v>382</v>
      </c>
      <c r="X55" s="1"/>
      <c r="Y55" s="9"/>
      <c r="Z55" s="1"/>
      <c r="AA55" s="9"/>
      <c r="AB55" s="1"/>
      <c r="AC55" s="9"/>
      <c r="AD55" s="9"/>
      <c r="AE55" s="9"/>
      <c r="AF55" s="9"/>
      <c r="AG55" s="9"/>
      <c r="AH55" s="9"/>
      <c r="AI55" s="9"/>
      <c r="AJ55" s="9"/>
      <c r="AK55" s="9"/>
      <c r="AL55" s="9"/>
      <c r="AM55" s="12"/>
    </row>
    <row r="56" spans="1:39" x14ac:dyDescent="0.25">
      <c r="A56" s="3">
        <v>27</v>
      </c>
      <c r="B56" s="6" t="s">
        <v>87</v>
      </c>
      <c r="C56" s="3" t="s">
        <v>88</v>
      </c>
      <c r="D56" s="3" t="s">
        <v>89</v>
      </c>
      <c r="E56" s="3" t="s">
        <v>23</v>
      </c>
      <c r="F56" s="4" t="s">
        <v>1</v>
      </c>
      <c r="G56" s="10"/>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0"/>
      <c r="AJ56" s="10"/>
      <c r="AK56" s="11"/>
      <c r="AL56" s="11"/>
      <c r="AM56" s="13"/>
    </row>
    <row r="57" spans="1:39" x14ac:dyDescent="0.25">
      <c r="A57" s="3">
        <v>28</v>
      </c>
      <c r="B57" s="6" t="s">
        <v>90</v>
      </c>
      <c r="C57" s="3" t="s">
        <v>91</v>
      </c>
      <c r="D57" s="3" t="s">
        <v>92</v>
      </c>
      <c r="E57" s="3" t="s">
        <v>23</v>
      </c>
      <c r="F57" s="3" t="s">
        <v>2</v>
      </c>
      <c r="G57" s="9" t="s">
        <v>324</v>
      </c>
      <c r="H57" s="1"/>
      <c r="I57" s="1"/>
      <c r="J57" s="1"/>
      <c r="K57" s="1"/>
      <c r="L57" s="1"/>
      <c r="M57" s="1"/>
      <c r="N57" s="1"/>
      <c r="O57" s="1"/>
      <c r="P57" s="1"/>
      <c r="Q57" s="1"/>
      <c r="R57" s="1"/>
      <c r="S57" s="1"/>
      <c r="T57" s="1"/>
      <c r="U57" s="1" t="s">
        <v>381</v>
      </c>
      <c r="V57" s="1"/>
      <c r="W57" s="9"/>
      <c r="X57" s="1"/>
      <c r="Y57" s="9"/>
      <c r="Z57" s="1"/>
      <c r="AA57" s="9"/>
      <c r="AB57" s="1"/>
      <c r="AC57" s="9"/>
      <c r="AD57" s="9"/>
      <c r="AE57" s="9"/>
      <c r="AF57" s="9"/>
      <c r="AG57" s="9"/>
      <c r="AH57" s="9"/>
      <c r="AI57" s="9"/>
      <c r="AJ57" s="9"/>
      <c r="AK57" s="9"/>
      <c r="AL57" s="9"/>
      <c r="AM57" s="12"/>
    </row>
    <row r="58" spans="1:39" x14ac:dyDescent="0.25">
      <c r="A58" s="3">
        <v>28</v>
      </c>
      <c r="B58" s="6" t="s">
        <v>90</v>
      </c>
      <c r="C58" s="3" t="s">
        <v>91</v>
      </c>
      <c r="D58" s="3" t="s">
        <v>92</v>
      </c>
      <c r="E58" s="3" t="s">
        <v>23</v>
      </c>
      <c r="F58" s="4" t="s">
        <v>1</v>
      </c>
      <c r="G58" s="10"/>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0"/>
      <c r="AJ58" s="10"/>
      <c r="AK58" s="11"/>
      <c r="AL58" s="11"/>
      <c r="AM58" s="13"/>
    </row>
    <row r="59" spans="1:39" x14ac:dyDescent="0.25">
      <c r="A59" s="3">
        <v>29</v>
      </c>
      <c r="B59" s="6" t="s">
        <v>93</v>
      </c>
      <c r="C59" s="3" t="s">
        <v>94</v>
      </c>
      <c r="D59" s="3" t="s">
        <v>95</v>
      </c>
      <c r="E59" s="3" t="s">
        <v>23</v>
      </c>
      <c r="F59" s="3" t="s">
        <v>2</v>
      </c>
      <c r="G59" s="9" t="s">
        <v>383</v>
      </c>
      <c r="H59" s="1"/>
      <c r="I59" s="1"/>
      <c r="J59" s="1"/>
      <c r="K59" s="1"/>
      <c r="L59" s="1"/>
      <c r="M59" s="1"/>
      <c r="N59" s="1"/>
      <c r="O59" s="1"/>
      <c r="P59" s="1"/>
      <c r="Q59" s="1"/>
      <c r="R59" s="1"/>
      <c r="S59" s="1"/>
      <c r="T59" s="1"/>
      <c r="U59" s="1"/>
      <c r="V59" s="1"/>
      <c r="W59" s="1" t="s">
        <v>384</v>
      </c>
      <c r="X59" s="1"/>
      <c r="Y59" s="9"/>
      <c r="Z59" s="1"/>
      <c r="AA59" s="9"/>
      <c r="AB59" s="1"/>
      <c r="AC59" s="9"/>
      <c r="AD59" s="9"/>
      <c r="AE59" s="9"/>
      <c r="AF59" s="9"/>
      <c r="AG59" s="9"/>
      <c r="AH59" s="9"/>
      <c r="AI59" s="9"/>
      <c r="AJ59" s="9"/>
      <c r="AK59" s="9"/>
      <c r="AL59" s="9"/>
      <c r="AM59" s="12"/>
    </row>
    <row r="60" spans="1:39" x14ac:dyDescent="0.25">
      <c r="A60" s="3">
        <v>29</v>
      </c>
      <c r="B60" s="6" t="s">
        <v>93</v>
      </c>
      <c r="C60" s="3" t="s">
        <v>94</v>
      </c>
      <c r="D60" s="3" t="s">
        <v>95</v>
      </c>
      <c r="E60" s="3" t="s">
        <v>23</v>
      </c>
      <c r="F60" s="4" t="s">
        <v>1</v>
      </c>
      <c r="G60" s="10"/>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0"/>
      <c r="AJ60" s="10"/>
      <c r="AK60" s="11"/>
      <c r="AL60" s="11"/>
      <c r="AM60" s="13"/>
    </row>
    <row r="61" spans="1:39" x14ac:dyDescent="0.25">
      <c r="A61" s="3">
        <v>32</v>
      </c>
      <c r="B61" s="6" t="s">
        <v>102</v>
      </c>
      <c r="C61" s="3" t="s">
        <v>103</v>
      </c>
      <c r="D61" s="3" t="s">
        <v>104</v>
      </c>
      <c r="E61" s="3" t="s">
        <v>23</v>
      </c>
      <c r="F61" s="3" t="s">
        <v>2</v>
      </c>
      <c r="G61" s="9" t="s">
        <v>385</v>
      </c>
      <c r="H61" s="1"/>
      <c r="I61" s="1"/>
      <c r="J61" s="1"/>
      <c r="K61" s="1"/>
      <c r="L61" s="1"/>
      <c r="M61" s="1"/>
      <c r="N61" s="1"/>
      <c r="O61" s="1"/>
      <c r="P61" s="1"/>
      <c r="Q61" s="1"/>
      <c r="R61" s="1"/>
      <c r="S61" s="1"/>
      <c r="T61" s="1"/>
      <c r="U61" s="1"/>
      <c r="V61" s="1"/>
      <c r="W61" s="1" t="s">
        <v>386</v>
      </c>
      <c r="X61" s="1"/>
      <c r="Y61" s="9"/>
      <c r="Z61" s="1"/>
      <c r="AA61" s="9"/>
      <c r="AB61" s="1"/>
      <c r="AC61" s="9"/>
      <c r="AD61" s="9"/>
      <c r="AE61" s="9"/>
      <c r="AF61" s="9"/>
      <c r="AG61" s="9"/>
      <c r="AH61" s="9"/>
      <c r="AI61" s="9"/>
      <c r="AJ61" s="9"/>
      <c r="AK61" s="9"/>
      <c r="AL61" s="9"/>
      <c r="AM61" s="12"/>
    </row>
    <row r="62" spans="1:39" x14ac:dyDescent="0.25">
      <c r="A62" s="3">
        <v>32</v>
      </c>
      <c r="B62" s="6" t="s">
        <v>102</v>
      </c>
      <c r="C62" s="3" t="s">
        <v>103</v>
      </c>
      <c r="D62" s="3" t="s">
        <v>104</v>
      </c>
      <c r="E62" s="3" t="s">
        <v>23</v>
      </c>
      <c r="F62" s="4" t="s">
        <v>1</v>
      </c>
      <c r="G62" s="10"/>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0"/>
      <c r="AJ62" s="10"/>
      <c r="AK62" s="11"/>
      <c r="AL62" s="11"/>
      <c r="AM62" s="13"/>
    </row>
    <row r="63" spans="1:39" x14ac:dyDescent="0.25">
      <c r="A63" s="3">
        <v>30</v>
      </c>
      <c r="B63" s="6" t="s">
        <v>96</v>
      </c>
      <c r="C63" s="3" t="s">
        <v>97</v>
      </c>
      <c r="D63" s="3" t="s">
        <v>98</v>
      </c>
      <c r="E63" s="3" t="s">
        <v>23</v>
      </c>
      <c r="F63" s="3" t="s">
        <v>2</v>
      </c>
      <c r="G63" s="9" t="s">
        <v>387</v>
      </c>
      <c r="H63" s="1"/>
      <c r="I63" s="1"/>
      <c r="J63" s="1"/>
      <c r="K63" s="1"/>
      <c r="L63" s="1"/>
      <c r="M63" s="1"/>
      <c r="N63" s="1"/>
      <c r="O63" s="1"/>
      <c r="P63" s="1"/>
      <c r="Q63" s="1"/>
      <c r="R63" s="1"/>
      <c r="S63" s="1"/>
      <c r="T63" s="1"/>
      <c r="U63" s="1"/>
      <c r="V63" s="1"/>
      <c r="W63" s="1" t="s">
        <v>389</v>
      </c>
      <c r="X63" s="1"/>
      <c r="Y63" s="9"/>
      <c r="Z63" s="1"/>
      <c r="AA63" s="9"/>
      <c r="AB63" s="1"/>
      <c r="AC63" s="9"/>
      <c r="AD63" s="9"/>
      <c r="AE63" s="9"/>
      <c r="AF63" s="9"/>
      <c r="AG63" s="9"/>
      <c r="AH63" s="9"/>
      <c r="AI63" s="9"/>
      <c r="AJ63" s="9"/>
      <c r="AK63" s="9"/>
      <c r="AL63" s="9"/>
      <c r="AM63" s="12"/>
    </row>
    <row r="64" spans="1:39" x14ac:dyDescent="0.25">
      <c r="A64" s="3">
        <v>30</v>
      </c>
      <c r="B64" s="6" t="s">
        <v>96</v>
      </c>
      <c r="C64" s="3" t="s">
        <v>97</v>
      </c>
      <c r="D64" s="3" t="s">
        <v>98</v>
      </c>
      <c r="E64" s="3" t="s">
        <v>23</v>
      </c>
      <c r="F64" s="4" t="s">
        <v>1</v>
      </c>
      <c r="G64" s="10"/>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0"/>
      <c r="AJ64" s="10"/>
      <c r="AK64" s="11"/>
      <c r="AL64" s="11"/>
      <c r="AM64" s="13"/>
    </row>
    <row r="65" spans="1:39" x14ac:dyDescent="0.25">
      <c r="A65" s="3">
        <v>33</v>
      </c>
      <c r="B65" s="6" t="s">
        <v>105</v>
      </c>
      <c r="C65" s="3" t="s">
        <v>106</v>
      </c>
      <c r="D65" s="3" t="s">
        <v>107</v>
      </c>
      <c r="E65" s="3" t="s">
        <v>23</v>
      </c>
      <c r="F65" s="3" t="s">
        <v>2</v>
      </c>
      <c r="G65" s="9" t="s">
        <v>388</v>
      </c>
      <c r="H65" s="1"/>
      <c r="I65" s="1"/>
      <c r="J65" s="1"/>
      <c r="K65" s="1"/>
      <c r="L65" s="1"/>
      <c r="M65" s="1"/>
      <c r="N65" s="1"/>
      <c r="O65" s="1"/>
      <c r="P65" s="1"/>
      <c r="Q65" s="1"/>
      <c r="R65" s="1"/>
      <c r="S65" s="1"/>
      <c r="T65" s="1"/>
      <c r="U65" s="1"/>
      <c r="V65" s="1"/>
      <c r="W65" s="1" t="s">
        <v>390</v>
      </c>
      <c r="X65" s="1"/>
      <c r="Y65" s="9"/>
      <c r="Z65" s="1"/>
      <c r="AA65" s="9"/>
      <c r="AB65" s="1"/>
      <c r="AC65" s="9"/>
      <c r="AD65" s="9"/>
      <c r="AE65" s="9"/>
      <c r="AF65" s="9"/>
      <c r="AG65" s="9"/>
      <c r="AH65" s="9"/>
      <c r="AI65" s="9"/>
      <c r="AJ65" s="9"/>
      <c r="AK65" s="9"/>
      <c r="AL65" s="9"/>
      <c r="AM65" s="12"/>
    </row>
    <row r="66" spans="1:39" x14ac:dyDescent="0.25">
      <c r="A66" s="3">
        <v>33</v>
      </c>
      <c r="B66" s="6" t="s">
        <v>105</v>
      </c>
      <c r="C66" s="3" t="s">
        <v>106</v>
      </c>
      <c r="D66" s="3" t="s">
        <v>107</v>
      </c>
      <c r="E66" s="3" t="s">
        <v>23</v>
      </c>
      <c r="F66" s="4" t="s">
        <v>1</v>
      </c>
      <c r="G66" s="10"/>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0"/>
      <c r="AJ66" s="10"/>
      <c r="AK66" s="11"/>
      <c r="AL66" s="11"/>
      <c r="AM66" s="13"/>
    </row>
    <row r="67" spans="1:39" x14ac:dyDescent="0.25">
      <c r="A67" s="3">
        <v>31</v>
      </c>
      <c r="B67" s="6" t="s">
        <v>99</v>
      </c>
      <c r="C67" s="3" t="s">
        <v>100</v>
      </c>
      <c r="D67" s="3" t="s">
        <v>101</v>
      </c>
      <c r="E67" s="3" t="s">
        <v>23</v>
      </c>
      <c r="F67" s="3" t="s">
        <v>2</v>
      </c>
      <c r="G67" s="9" t="s">
        <v>392</v>
      </c>
      <c r="H67" s="1"/>
      <c r="I67" s="1"/>
      <c r="J67" s="1"/>
      <c r="K67" s="1"/>
      <c r="L67" s="1"/>
      <c r="M67" s="1"/>
      <c r="N67" s="1"/>
      <c r="O67" s="1"/>
      <c r="P67" s="1"/>
      <c r="Q67" s="1"/>
      <c r="R67" s="1"/>
      <c r="S67" s="1"/>
      <c r="T67" s="1"/>
      <c r="U67" s="1"/>
      <c r="V67" s="1"/>
      <c r="W67" s="1" t="s">
        <v>391</v>
      </c>
      <c r="X67" s="1"/>
      <c r="Y67" s="9"/>
      <c r="Z67" s="1"/>
      <c r="AA67" s="9"/>
      <c r="AB67" s="1"/>
      <c r="AC67" s="9"/>
      <c r="AD67" s="9"/>
      <c r="AE67" s="9"/>
      <c r="AF67" s="9"/>
      <c r="AG67" s="9"/>
      <c r="AH67" s="9"/>
      <c r="AI67" s="9"/>
      <c r="AJ67" s="9"/>
      <c r="AK67" s="9"/>
      <c r="AL67" s="9"/>
      <c r="AM67" s="12"/>
    </row>
    <row r="68" spans="1:39" x14ac:dyDescent="0.25">
      <c r="A68" s="3">
        <v>31</v>
      </c>
      <c r="B68" s="6" t="s">
        <v>99</v>
      </c>
      <c r="C68" s="3" t="s">
        <v>100</v>
      </c>
      <c r="D68" s="3" t="s">
        <v>101</v>
      </c>
      <c r="E68" s="3" t="s">
        <v>23</v>
      </c>
      <c r="F68" s="4" t="s">
        <v>1</v>
      </c>
      <c r="G68" s="10"/>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0"/>
      <c r="AJ68" s="10"/>
      <c r="AK68" s="11"/>
      <c r="AL68" s="11"/>
      <c r="AM68" s="13"/>
    </row>
    <row r="69" spans="1:39" x14ac:dyDescent="0.25">
      <c r="A69" s="3">
        <v>34</v>
      </c>
      <c r="B69" s="6" t="s">
        <v>108</v>
      </c>
      <c r="C69" s="3" t="s">
        <v>109</v>
      </c>
      <c r="D69" s="3" t="s">
        <v>110</v>
      </c>
      <c r="E69" s="3" t="s">
        <v>23</v>
      </c>
      <c r="F69" s="3" t="s">
        <v>2</v>
      </c>
      <c r="G69" s="9" t="s">
        <v>394</v>
      </c>
      <c r="H69" s="1"/>
      <c r="I69" s="1"/>
      <c r="J69" s="1"/>
      <c r="K69" s="1"/>
      <c r="L69" s="1"/>
      <c r="M69" s="1"/>
      <c r="N69" s="1"/>
      <c r="O69" s="1"/>
      <c r="P69" s="1"/>
      <c r="Q69" s="1"/>
      <c r="R69" s="1"/>
      <c r="S69" s="1"/>
      <c r="T69" s="1"/>
      <c r="U69" s="1"/>
      <c r="V69" s="1"/>
      <c r="W69" s="1" t="s">
        <v>393</v>
      </c>
      <c r="X69" s="1"/>
      <c r="Y69" s="9"/>
      <c r="Z69" s="1"/>
      <c r="AA69" s="9"/>
      <c r="AB69" s="1"/>
      <c r="AC69" s="9"/>
      <c r="AD69" s="9"/>
      <c r="AE69" s="9"/>
      <c r="AF69" s="9"/>
      <c r="AG69" s="9"/>
      <c r="AH69" s="9"/>
      <c r="AI69" s="9"/>
      <c r="AJ69" s="9"/>
      <c r="AK69" s="9"/>
      <c r="AL69" s="9"/>
      <c r="AM69" s="12"/>
    </row>
    <row r="70" spans="1:39" x14ac:dyDescent="0.25">
      <c r="A70" s="3">
        <v>34</v>
      </c>
      <c r="B70" s="6" t="s">
        <v>108</v>
      </c>
      <c r="C70" s="3" t="s">
        <v>109</v>
      </c>
      <c r="D70" s="3" t="s">
        <v>110</v>
      </c>
      <c r="E70" s="3" t="s">
        <v>23</v>
      </c>
      <c r="F70" s="4" t="s">
        <v>1</v>
      </c>
      <c r="G70" s="10"/>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0"/>
      <c r="AJ70" s="10"/>
      <c r="AK70" s="11"/>
      <c r="AL70" s="11"/>
      <c r="AM70" s="13"/>
    </row>
    <row r="71" spans="1:39" x14ac:dyDescent="0.25">
      <c r="A71" s="3">
        <v>35</v>
      </c>
      <c r="B71" s="6" t="s">
        <v>111</v>
      </c>
      <c r="C71" s="3" t="s">
        <v>112</v>
      </c>
      <c r="D71" s="3" t="s">
        <v>113</v>
      </c>
      <c r="E71" s="3" t="s">
        <v>23</v>
      </c>
      <c r="F71" s="3" t="s">
        <v>2</v>
      </c>
      <c r="G71" s="9" t="s">
        <v>324</v>
      </c>
      <c r="H71" s="1"/>
      <c r="I71" s="1"/>
      <c r="J71" s="1"/>
      <c r="K71" s="1"/>
      <c r="L71" s="1"/>
      <c r="M71" s="1"/>
      <c r="N71" s="1"/>
      <c r="O71" s="1"/>
      <c r="P71" s="1"/>
      <c r="Q71" s="1"/>
      <c r="R71" s="1"/>
      <c r="S71" s="1"/>
      <c r="T71" s="1"/>
      <c r="U71" s="1"/>
      <c r="V71" s="1"/>
      <c r="W71" s="1" t="s">
        <v>384</v>
      </c>
      <c r="X71" s="1"/>
      <c r="Y71" s="9"/>
      <c r="Z71" s="1"/>
      <c r="AA71" s="9"/>
      <c r="AB71" s="1"/>
      <c r="AC71" s="9"/>
      <c r="AD71" s="9"/>
      <c r="AE71" s="9"/>
      <c r="AF71" s="9"/>
      <c r="AG71" s="9"/>
      <c r="AH71" s="9"/>
      <c r="AI71" s="9"/>
      <c r="AJ71" s="9"/>
      <c r="AK71" s="9"/>
      <c r="AL71" s="9"/>
      <c r="AM71" s="12"/>
    </row>
    <row r="72" spans="1:39" x14ac:dyDescent="0.25">
      <c r="A72" s="3">
        <v>35</v>
      </c>
      <c r="B72" s="6" t="s">
        <v>111</v>
      </c>
      <c r="C72" s="3" t="s">
        <v>112</v>
      </c>
      <c r="D72" s="3" t="s">
        <v>113</v>
      </c>
      <c r="E72" s="3" t="s">
        <v>23</v>
      </c>
      <c r="F72" s="4" t="s">
        <v>1</v>
      </c>
      <c r="G72" s="10"/>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0"/>
      <c r="AJ72" s="10"/>
      <c r="AK72" s="11"/>
      <c r="AL72" s="11"/>
      <c r="AM72" s="13"/>
    </row>
    <row r="73" spans="1:39" x14ac:dyDescent="0.25">
      <c r="A73" s="3">
        <v>36</v>
      </c>
      <c r="B73" s="6" t="s">
        <v>114</v>
      </c>
      <c r="C73" s="3" t="s">
        <v>115</v>
      </c>
      <c r="D73" s="3" t="s">
        <v>116</v>
      </c>
      <c r="E73" s="3" t="s">
        <v>23</v>
      </c>
      <c r="F73" s="3" t="s">
        <v>2</v>
      </c>
      <c r="G73" s="9" t="s">
        <v>324</v>
      </c>
      <c r="H73" s="1"/>
      <c r="I73" s="1"/>
      <c r="J73" s="1"/>
      <c r="K73" s="1"/>
      <c r="L73" s="1"/>
      <c r="M73" s="1"/>
      <c r="N73" s="1"/>
      <c r="O73" s="1"/>
      <c r="P73" s="1"/>
      <c r="Q73" s="1"/>
      <c r="R73" s="1"/>
      <c r="S73" s="1"/>
      <c r="T73" s="1"/>
      <c r="U73" s="1"/>
      <c r="V73" s="1"/>
      <c r="W73" s="1" t="s">
        <v>383</v>
      </c>
      <c r="X73" s="1"/>
      <c r="Y73" s="9"/>
      <c r="Z73" s="1"/>
      <c r="AA73" s="9"/>
      <c r="AB73" s="1"/>
      <c r="AC73" s="9"/>
      <c r="AD73" s="9"/>
      <c r="AE73" s="9"/>
      <c r="AF73" s="9"/>
      <c r="AG73" s="9"/>
      <c r="AH73" s="9"/>
      <c r="AI73" s="9"/>
      <c r="AJ73" s="9"/>
      <c r="AK73" s="9"/>
      <c r="AL73" s="9"/>
      <c r="AM73" s="12"/>
    </row>
    <row r="74" spans="1:39" x14ac:dyDescent="0.25">
      <c r="A74" s="3">
        <v>36</v>
      </c>
      <c r="B74" s="6" t="s">
        <v>114</v>
      </c>
      <c r="C74" s="3" t="s">
        <v>115</v>
      </c>
      <c r="D74" s="3" t="s">
        <v>116</v>
      </c>
      <c r="E74" s="3" t="s">
        <v>23</v>
      </c>
      <c r="F74" s="4" t="s">
        <v>1</v>
      </c>
      <c r="G74" s="10"/>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0"/>
      <c r="AJ74" s="10"/>
      <c r="AK74" s="11"/>
      <c r="AL74" s="11"/>
      <c r="AM74" s="13"/>
    </row>
    <row r="75" spans="1:39" x14ac:dyDescent="0.25">
      <c r="A75" s="3">
        <v>37</v>
      </c>
      <c r="B75" s="6" t="s">
        <v>117</v>
      </c>
      <c r="C75" s="3" t="s">
        <v>118</v>
      </c>
      <c r="D75" s="3" t="s">
        <v>119</v>
      </c>
      <c r="E75" s="3" t="s">
        <v>23</v>
      </c>
      <c r="F75" s="3" t="s">
        <v>2</v>
      </c>
      <c r="G75" s="9" t="s">
        <v>324</v>
      </c>
      <c r="H75" s="1"/>
      <c r="I75" s="1"/>
      <c r="J75" s="1"/>
      <c r="K75" s="1"/>
      <c r="L75" s="1"/>
      <c r="M75" s="1"/>
      <c r="N75" s="1"/>
      <c r="O75" s="1"/>
      <c r="P75" s="1"/>
      <c r="Q75" s="1"/>
      <c r="R75" s="1"/>
      <c r="S75" s="1"/>
      <c r="T75" s="1"/>
      <c r="U75" s="1"/>
      <c r="V75" s="1"/>
      <c r="W75" s="1" t="s">
        <v>386</v>
      </c>
      <c r="X75" s="1"/>
      <c r="Y75" s="9"/>
      <c r="Z75" s="1"/>
      <c r="AA75" s="9"/>
      <c r="AB75" s="1"/>
      <c r="AC75" s="9"/>
      <c r="AD75" s="9"/>
      <c r="AE75" s="9"/>
      <c r="AF75" s="9"/>
      <c r="AG75" s="9"/>
      <c r="AH75" s="9"/>
      <c r="AI75" s="9"/>
      <c r="AJ75" s="9"/>
      <c r="AK75" s="9"/>
      <c r="AL75" s="9"/>
      <c r="AM75" s="12"/>
    </row>
    <row r="76" spans="1:39" x14ac:dyDescent="0.25">
      <c r="A76" s="3">
        <v>37</v>
      </c>
      <c r="B76" s="6" t="s">
        <v>117</v>
      </c>
      <c r="C76" s="3" t="s">
        <v>118</v>
      </c>
      <c r="D76" s="3" t="s">
        <v>119</v>
      </c>
      <c r="E76" s="3" t="s">
        <v>23</v>
      </c>
      <c r="F76" s="4" t="s">
        <v>1</v>
      </c>
      <c r="G76" s="10"/>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0"/>
      <c r="AJ76" s="10"/>
      <c r="AK76" s="11"/>
      <c r="AL76" s="11"/>
      <c r="AM76" s="13"/>
    </row>
    <row r="77" spans="1:39" x14ac:dyDescent="0.25">
      <c r="A77" s="3">
        <v>38</v>
      </c>
      <c r="B77" s="6" t="s">
        <v>120</v>
      </c>
      <c r="C77" s="3" t="s">
        <v>121</v>
      </c>
      <c r="D77" s="3" t="s">
        <v>122</v>
      </c>
      <c r="E77" s="3" t="s">
        <v>23</v>
      </c>
      <c r="F77" s="3" t="s">
        <v>2</v>
      </c>
      <c r="G77" s="9" t="s">
        <v>324</v>
      </c>
      <c r="H77" s="1"/>
      <c r="I77" s="1"/>
      <c r="J77" s="1"/>
      <c r="K77" s="1"/>
      <c r="L77" s="1"/>
      <c r="M77" s="1"/>
      <c r="N77" s="1"/>
      <c r="O77" s="1"/>
      <c r="P77" s="1"/>
      <c r="Q77" s="1"/>
      <c r="R77" s="1"/>
      <c r="S77" s="1"/>
      <c r="T77" s="1"/>
      <c r="U77" s="1"/>
      <c r="V77" s="1"/>
      <c r="W77" s="1" t="s">
        <v>385</v>
      </c>
      <c r="X77" s="1"/>
      <c r="Y77" s="9"/>
      <c r="Z77" s="1"/>
      <c r="AA77" s="9"/>
      <c r="AB77" s="1"/>
      <c r="AC77" s="9"/>
      <c r="AD77" s="9"/>
      <c r="AE77" s="9"/>
      <c r="AF77" s="9"/>
      <c r="AG77" s="9"/>
      <c r="AH77" s="9"/>
      <c r="AI77" s="9"/>
      <c r="AJ77" s="9"/>
      <c r="AK77" s="9"/>
      <c r="AL77" s="9"/>
      <c r="AM77" s="12"/>
    </row>
    <row r="78" spans="1:39" x14ac:dyDescent="0.25">
      <c r="A78" s="3">
        <v>38</v>
      </c>
      <c r="B78" s="6" t="s">
        <v>120</v>
      </c>
      <c r="C78" s="3" t="s">
        <v>121</v>
      </c>
      <c r="D78" s="3" t="s">
        <v>122</v>
      </c>
      <c r="E78" s="3" t="s">
        <v>23</v>
      </c>
      <c r="F78" s="4" t="s">
        <v>1</v>
      </c>
      <c r="G78" s="10"/>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0"/>
      <c r="AJ78" s="10"/>
      <c r="AK78" s="11"/>
      <c r="AL78" s="11"/>
      <c r="AM78" s="13"/>
    </row>
    <row r="79" spans="1:39" x14ac:dyDescent="0.25">
      <c r="A79" s="3">
        <v>39</v>
      </c>
      <c r="B79" s="6" t="s">
        <v>123</v>
      </c>
      <c r="C79" s="3" t="s">
        <v>124</v>
      </c>
      <c r="D79" s="3" t="s">
        <v>125</v>
      </c>
      <c r="E79" s="3" t="s">
        <v>23</v>
      </c>
      <c r="F79" s="3" t="s">
        <v>2</v>
      </c>
      <c r="G79" s="9" t="s">
        <v>324</v>
      </c>
      <c r="H79" s="1"/>
      <c r="I79" s="1"/>
      <c r="J79" s="1"/>
      <c r="K79" s="1"/>
      <c r="L79" s="1"/>
      <c r="M79" s="1"/>
      <c r="N79" s="1"/>
      <c r="O79" s="1"/>
      <c r="P79" s="1"/>
      <c r="Q79" s="1"/>
      <c r="R79" s="1"/>
      <c r="S79" s="1"/>
      <c r="T79" s="1"/>
      <c r="U79" s="1"/>
      <c r="V79" s="1"/>
      <c r="W79" s="1" t="s">
        <v>389</v>
      </c>
      <c r="X79" s="1"/>
      <c r="Y79" s="9"/>
      <c r="Z79" s="1"/>
      <c r="AA79" s="9"/>
      <c r="AB79" s="1"/>
      <c r="AC79" s="9"/>
      <c r="AD79" s="9"/>
      <c r="AE79" s="9"/>
      <c r="AF79" s="9"/>
      <c r="AG79" s="9"/>
      <c r="AH79" s="9"/>
      <c r="AI79" s="9"/>
      <c r="AJ79" s="9"/>
      <c r="AK79" s="9"/>
      <c r="AL79" s="9"/>
      <c r="AM79" s="12"/>
    </row>
    <row r="80" spans="1:39" x14ac:dyDescent="0.25">
      <c r="A80" s="3">
        <v>39</v>
      </c>
      <c r="B80" s="6" t="s">
        <v>123</v>
      </c>
      <c r="C80" s="3" t="s">
        <v>124</v>
      </c>
      <c r="D80" s="3" t="s">
        <v>125</v>
      </c>
      <c r="E80" s="3" t="s">
        <v>23</v>
      </c>
      <c r="F80" s="4" t="s">
        <v>1</v>
      </c>
      <c r="G80" s="10"/>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0"/>
      <c r="AJ80" s="10"/>
      <c r="AK80" s="11"/>
      <c r="AL80" s="11"/>
      <c r="AM80" s="13"/>
    </row>
    <row r="81" spans="1:39" x14ac:dyDescent="0.25">
      <c r="A81" s="3">
        <v>40</v>
      </c>
      <c r="B81" s="6" t="s">
        <v>126</v>
      </c>
      <c r="C81" s="3" t="s">
        <v>127</v>
      </c>
      <c r="D81" s="3" t="s">
        <v>128</v>
      </c>
      <c r="E81" s="3" t="s">
        <v>23</v>
      </c>
      <c r="F81" s="3" t="s">
        <v>2</v>
      </c>
      <c r="G81" s="9" t="s">
        <v>324</v>
      </c>
      <c r="H81" s="1"/>
      <c r="I81" s="1"/>
      <c r="J81" s="1"/>
      <c r="K81" s="1"/>
      <c r="L81" s="1"/>
      <c r="M81" s="1"/>
      <c r="N81" s="1"/>
      <c r="O81" s="1"/>
      <c r="P81" s="1"/>
      <c r="Q81" s="1"/>
      <c r="R81" s="1"/>
      <c r="S81" s="1"/>
      <c r="T81" s="1"/>
      <c r="U81" s="1"/>
      <c r="V81" s="1"/>
      <c r="W81" s="1" t="s">
        <v>387</v>
      </c>
      <c r="X81" s="1"/>
      <c r="Y81" s="9"/>
      <c r="Z81" s="1"/>
      <c r="AA81" s="9"/>
      <c r="AB81" s="1"/>
      <c r="AC81" s="9"/>
      <c r="AD81" s="9"/>
      <c r="AE81" s="9"/>
      <c r="AF81" s="9"/>
      <c r="AG81" s="9"/>
      <c r="AH81" s="9"/>
      <c r="AI81" s="9"/>
      <c r="AJ81" s="9"/>
      <c r="AK81" s="9"/>
      <c r="AL81" s="9"/>
      <c r="AM81" s="12"/>
    </row>
    <row r="82" spans="1:39" x14ac:dyDescent="0.25">
      <c r="A82" s="3">
        <v>40</v>
      </c>
      <c r="B82" s="6" t="s">
        <v>126</v>
      </c>
      <c r="C82" s="3" t="s">
        <v>127</v>
      </c>
      <c r="D82" s="3" t="s">
        <v>128</v>
      </c>
      <c r="E82" s="3" t="s">
        <v>23</v>
      </c>
      <c r="F82" s="4" t="s">
        <v>1</v>
      </c>
      <c r="G82" s="10"/>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0"/>
      <c r="AJ82" s="10"/>
      <c r="AK82" s="11"/>
      <c r="AL82" s="11"/>
      <c r="AM82" s="13"/>
    </row>
    <row r="83" spans="1:39" x14ac:dyDescent="0.25">
      <c r="A83" s="3">
        <v>41</v>
      </c>
      <c r="B83" s="6" t="s">
        <v>129</v>
      </c>
      <c r="C83" s="3" t="s">
        <v>130</v>
      </c>
      <c r="D83" s="3" t="s">
        <v>131</v>
      </c>
      <c r="E83" s="3" t="s">
        <v>23</v>
      </c>
      <c r="F83" s="3" t="s">
        <v>2</v>
      </c>
      <c r="G83" s="9" t="s">
        <v>324</v>
      </c>
      <c r="H83" s="1"/>
      <c r="I83" s="1"/>
      <c r="J83" s="1"/>
      <c r="K83" s="1"/>
      <c r="L83" s="1"/>
      <c r="M83" s="1"/>
      <c r="N83" s="1"/>
      <c r="O83" s="1"/>
      <c r="P83" s="1"/>
      <c r="Q83" s="1"/>
      <c r="R83" s="1"/>
      <c r="S83" s="1"/>
      <c r="T83" s="1"/>
      <c r="U83" s="1"/>
      <c r="V83" s="1"/>
      <c r="W83" s="1" t="s">
        <v>390</v>
      </c>
      <c r="X83" s="1"/>
      <c r="Y83" s="9"/>
      <c r="Z83" s="1"/>
      <c r="AA83" s="9"/>
      <c r="AB83" s="1"/>
      <c r="AC83" s="9"/>
      <c r="AD83" s="9"/>
      <c r="AE83" s="9"/>
      <c r="AF83" s="9"/>
      <c r="AG83" s="9"/>
      <c r="AH83" s="9"/>
      <c r="AI83" s="9"/>
      <c r="AJ83" s="9"/>
      <c r="AK83" s="9"/>
      <c r="AL83" s="9"/>
      <c r="AM83" s="12"/>
    </row>
    <row r="84" spans="1:39" x14ac:dyDescent="0.25">
      <c r="A84" s="3">
        <v>41</v>
      </c>
      <c r="B84" s="6" t="s">
        <v>129</v>
      </c>
      <c r="C84" s="3" t="s">
        <v>130</v>
      </c>
      <c r="D84" s="3" t="s">
        <v>131</v>
      </c>
      <c r="E84" s="3" t="s">
        <v>23</v>
      </c>
      <c r="F84" s="4" t="s">
        <v>1</v>
      </c>
      <c r="G84" s="10"/>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0"/>
      <c r="AJ84" s="10"/>
      <c r="AK84" s="11"/>
      <c r="AL84" s="11"/>
      <c r="AM84" s="13"/>
    </row>
    <row r="85" spans="1:39" x14ac:dyDescent="0.25">
      <c r="A85" s="3">
        <v>42</v>
      </c>
      <c r="B85" s="6" t="s">
        <v>132</v>
      </c>
      <c r="C85" s="3" t="s">
        <v>133</v>
      </c>
      <c r="D85" s="3" t="s">
        <v>134</v>
      </c>
      <c r="E85" s="3" t="s">
        <v>23</v>
      </c>
      <c r="F85" s="3" t="s">
        <v>2</v>
      </c>
      <c r="G85" s="9" t="s">
        <v>324</v>
      </c>
      <c r="H85" s="1"/>
      <c r="I85" s="1"/>
      <c r="J85" s="1"/>
      <c r="K85" s="1"/>
      <c r="L85" s="1"/>
      <c r="M85" s="1"/>
      <c r="N85" s="1"/>
      <c r="O85" s="1"/>
      <c r="P85" s="1"/>
      <c r="Q85" s="1"/>
      <c r="R85" s="1"/>
      <c r="S85" s="1"/>
      <c r="T85" s="1"/>
      <c r="U85" s="1"/>
      <c r="V85" s="1"/>
      <c r="W85" s="1" t="s">
        <v>388</v>
      </c>
      <c r="X85" s="1"/>
      <c r="Y85" s="9"/>
      <c r="Z85" s="1"/>
      <c r="AA85" s="9"/>
      <c r="AB85" s="1"/>
      <c r="AC85" s="9"/>
      <c r="AD85" s="9"/>
      <c r="AE85" s="9"/>
      <c r="AF85" s="9"/>
      <c r="AG85" s="9"/>
      <c r="AH85" s="9"/>
      <c r="AI85" s="9"/>
      <c r="AJ85" s="9"/>
      <c r="AK85" s="9"/>
      <c r="AL85" s="9"/>
      <c r="AM85" s="12"/>
    </row>
    <row r="86" spans="1:39" x14ac:dyDescent="0.25">
      <c r="A86" s="3">
        <v>42</v>
      </c>
      <c r="B86" s="6" t="s">
        <v>132</v>
      </c>
      <c r="C86" s="3" t="s">
        <v>133</v>
      </c>
      <c r="D86" s="3" t="s">
        <v>134</v>
      </c>
      <c r="E86" s="3" t="s">
        <v>23</v>
      </c>
      <c r="F86" s="4" t="s">
        <v>1</v>
      </c>
      <c r="G86" s="10"/>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0"/>
      <c r="AJ86" s="10"/>
      <c r="AK86" s="11"/>
      <c r="AL86" s="11"/>
      <c r="AM86" s="13"/>
    </row>
    <row r="87" spans="1:39" x14ac:dyDescent="0.25">
      <c r="A87" s="3">
        <v>43</v>
      </c>
      <c r="B87" s="6" t="s">
        <v>135</v>
      </c>
      <c r="C87" s="3" t="s">
        <v>136</v>
      </c>
      <c r="D87" s="3" t="s">
        <v>137</v>
      </c>
      <c r="E87" s="3" t="s">
        <v>23</v>
      </c>
      <c r="F87" s="3" t="s">
        <v>2</v>
      </c>
      <c r="G87" s="9" t="s">
        <v>324</v>
      </c>
      <c r="H87" s="1"/>
      <c r="I87" s="1"/>
      <c r="J87" s="1"/>
      <c r="K87" s="1"/>
      <c r="L87" s="1"/>
      <c r="M87" s="1"/>
      <c r="N87" s="1"/>
      <c r="O87" s="1"/>
      <c r="P87" s="1"/>
      <c r="Q87" s="1"/>
      <c r="R87" s="1"/>
      <c r="S87" s="1"/>
      <c r="T87" s="1"/>
      <c r="U87" s="1"/>
      <c r="V87" s="1"/>
      <c r="W87" s="1" t="s">
        <v>391</v>
      </c>
      <c r="X87" s="1"/>
      <c r="Y87" s="9"/>
      <c r="Z87" s="1"/>
      <c r="AA87" s="9"/>
      <c r="AB87" s="1"/>
      <c r="AC87" s="9"/>
      <c r="AD87" s="9"/>
      <c r="AE87" s="9"/>
      <c r="AF87" s="9"/>
      <c r="AG87" s="9"/>
      <c r="AH87" s="9"/>
      <c r="AI87" s="9"/>
      <c r="AJ87" s="9"/>
      <c r="AK87" s="9"/>
      <c r="AL87" s="9"/>
      <c r="AM87" s="12"/>
    </row>
    <row r="88" spans="1:39" x14ac:dyDescent="0.25">
      <c r="A88" s="3">
        <v>43</v>
      </c>
      <c r="B88" s="6" t="s">
        <v>135</v>
      </c>
      <c r="C88" s="3" t="s">
        <v>136</v>
      </c>
      <c r="D88" s="3" t="s">
        <v>137</v>
      </c>
      <c r="E88" s="3" t="s">
        <v>23</v>
      </c>
      <c r="F88" s="4" t="s">
        <v>1</v>
      </c>
      <c r="G88" s="10"/>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0"/>
      <c r="AJ88" s="10"/>
      <c r="AK88" s="11"/>
      <c r="AL88" s="11"/>
      <c r="AM88" s="13"/>
    </row>
    <row r="89" spans="1:39" x14ac:dyDescent="0.25">
      <c r="A89" s="3">
        <v>44</v>
      </c>
      <c r="B89" s="6" t="s">
        <v>138</v>
      </c>
      <c r="C89" s="3" t="s">
        <v>139</v>
      </c>
      <c r="D89" s="3" t="s">
        <v>140</v>
      </c>
      <c r="E89" s="3" t="s">
        <v>23</v>
      </c>
      <c r="F89" s="3" t="s">
        <v>2</v>
      </c>
      <c r="G89" s="9" t="s">
        <v>324</v>
      </c>
      <c r="H89" s="1"/>
      <c r="I89" s="1"/>
      <c r="J89" s="1"/>
      <c r="K89" s="1"/>
      <c r="L89" s="1"/>
      <c r="M89" s="1"/>
      <c r="N89" s="1"/>
      <c r="O89" s="1"/>
      <c r="P89" s="1"/>
      <c r="Q89" s="1"/>
      <c r="R89" s="1"/>
      <c r="S89" s="1"/>
      <c r="T89" s="1"/>
      <c r="U89" s="1"/>
      <c r="V89" s="1"/>
      <c r="W89" s="1" t="s">
        <v>392</v>
      </c>
      <c r="X89" s="1"/>
      <c r="Y89" s="9"/>
      <c r="Z89" s="1"/>
      <c r="AA89" s="9"/>
      <c r="AB89" s="1"/>
      <c r="AC89" s="9"/>
      <c r="AD89" s="9"/>
      <c r="AE89" s="9"/>
      <c r="AF89" s="9"/>
      <c r="AG89" s="9"/>
      <c r="AH89" s="9"/>
      <c r="AI89" s="9"/>
      <c r="AJ89" s="9"/>
      <c r="AK89" s="9"/>
      <c r="AL89" s="9"/>
      <c r="AM89" s="12"/>
    </row>
    <row r="90" spans="1:39" x14ac:dyDescent="0.25">
      <c r="A90" s="3">
        <v>44</v>
      </c>
      <c r="B90" s="6" t="s">
        <v>138</v>
      </c>
      <c r="C90" s="3" t="s">
        <v>139</v>
      </c>
      <c r="D90" s="3" t="s">
        <v>140</v>
      </c>
      <c r="E90" s="3" t="s">
        <v>23</v>
      </c>
      <c r="F90" s="4" t="s">
        <v>1</v>
      </c>
      <c r="G90" s="10"/>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0"/>
      <c r="AJ90" s="10"/>
      <c r="AK90" s="11"/>
      <c r="AL90" s="11"/>
      <c r="AM90" s="13"/>
    </row>
    <row r="91" spans="1:39" x14ac:dyDescent="0.25">
      <c r="A91" s="3">
        <v>45</v>
      </c>
      <c r="B91" s="6" t="s">
        <v>141</v>
      </c>
      <c r="C91" s="3" t="s">
        <v>142</v>
      </c>
      <c r="D91" s="3" t="s">
        <v>143</v>
      </c>
      <c r="E91" s="3" t="s">
        <v>23</v>
      </c>
      <c r="F91" s="3" t="s">
        <v>2</v>
      </c>
      <c r="G91" s="9" t="s">
        <v>324</v>
      </c>
      <c r="H91" s="1"/>
      <c r="I91" s="1"/>
      <c r="J91" s="1"/>
      <c r="K91" s="1"/>
      <c r="L91" s="1"/>
      <c r="M91" s="1"/>
      <c r="N91" s="1"/>
      <c r="O91" s="1"/>
      <c r="P91" s="1"/>
      <c r="Q91" s="1"/>
      <c r="R91" s="1"/>
      <c r="S91" s="1"/>
      <c r="T91" s="1"/>
      <c r="U91" s="1"/>
      <c r="V91" s="1"/>
      <c r="W91" s="1" t="s">
        <v>393</v>
      </c>
      <c r="X91" s="1"/>
      <c r="Y91" s="9"/>
      <c r="Z91" s="1"/>
      <c r="AA91" s="9"/>
      <c r="AB91" s="1"/>
      <c r="AC91" s="9"/>
      <c r="AD91" s="9"/>
      <c r="AE91" s="9"/>
      <c r="AF91" s="9"/>
      <c r="AG91" s="9"/>
      <c r="AH91" s="9"/>
      <c r="AI91" s="9"/>
      <c r="AJ91" s="9"/>
      <c r="AK91" s="9"/>
      <c r="AL91" s="9"/>
      <c r="AM91" s="12"/>
    </row>
    <row r="92" spans="1:39" x14ac:dyDescent="0.25">
      <c r="A92" s="3">
        <v>45</v>
      </c>
      <c r="B92" s="6" t="s">
        <v>141</v>
      </c>
      <c r="C92" s="3" t="s">
        <v>142</v>
      </c>
      <c r="D92" s="3" t="s">
        <v>143</v>
      </c>
      <c r="E92" s="3" t="s">
        <v>23</v>
      </c>
      <c r="F92" s="4" t="s">
        <v>1</v>
      </c>
      <c r="G92" s="10"/>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0"/>
      <c r="AJ92" s="10"/>
      <c r="AK92" s="11"/>
      <c r="AL92" s="11"/>
      <c r="AM92" s="13"/>
    </row>
    <row r="93" spans="1:39" x14ac:dyDescent="0.25">
      <c r="A93" s="3">
        <v>46</v>
      </c>
      <c r="B93" s="6" t="s">
        <v>144</v>
      </c>
      <c r="C93" s="3" t="s">
        <v>145</v>
      </c>
      <c r="D93" s="3" t="s">
        <v>146</v>
      </c>
      <c r="E93" s="3" t="s">
        <v>23</v>
      </c>
      <c r="F93" s="3" t="s">
        <v>2</v>
      </c>
      <c r="G93" s="9" t="s">
        <v>324</v>
      </c>
      <c r="H93" s="1"/>
      <c r="I93" s="1"/>
      <c r="J93" s="1"/>
      <c r="K93" s="1"/>
      <c r="L93" s="1"/>
      <c r="M93" s="1"/>
      <c r="N93" s="1"/>
      <c r="O93" s="1"/>
      <c r="P93" s="1"/>
      <c r="Q93" s="1"/>
      <c r="R93" s="1"/>
      <c r="S93" s="1"/>
      <c r="T93" s="1"/>
      <c r="U93" s="1"/>
      <c r="V93" s="1"/>
      <c r="W93" s="1" t="s">
        <v>394</v>
      </c>
      <c r="X93" s="1"/>
      <c r="Y93" s="9"/>
      <c r="Z93" s="1"/>
      <c r="AA93" s="9"/>
      <c r="AB93" s="1"/>
      <c r="AC93" s="9"/>
      <c r="AD93" s="9"/>
      <c r="AE93" s="9"/>
      <c r="AF93" s="9"/>
      <c r="AG93" s="9"/>
      <c r="AH93" s="9"/>
      <c r="AI93" s="9"/>
      <c r="AJ93" s="9"/>
      <c r="AK93" s="9"/>
      <c r="AL93" s="9"/>
      <c r="AM93" s="12"/>
    </row>
    <row r="94" spans="1:39" x14ac:dyDescent="0.25">
      <c r="A94" s="3">
        <v>46</v>
      </c>
      <c r="B94" s="6" t="s">
        <v>144</v>
      </c>
      <c r="C94" s="3" t="s">
        <v>145</v>
      </c>
      <c r="D94" s="3" t="s">
        <v>146</v>
      </c>
      <c r="E94" s="3" t="s">
        <v>23</v>
      </c>
      <c r="F94" s="4" t="s">
        <v>1</v>
      </c>
      <c r="G94" s="10"/>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0"/>
      <c r="AJ94" s="10"/>
      <c r="AK94" s="11"/>
      <c r="AL94" s="11"/>
      <c r="AM94" s="13"/>
    </row>
    <row r="95" spans="1:39" x14ac:dyDescent="0.25">
      <c r="A95" s="3">
        <v>47</v>
      </c>
      <c r="B95" s="6" t="s">
        <v>147</v>
      </c>
      <c r="C95" s="3" t="s">
        <v>148</v>
      </c>
      <c r="D95" s="3" t="s">
        <v>149</v>
      </c>
      <c r="E95" s="3" t="s">
        <v>23</v>
      </c>
      <c r="F95" s="3" t="s">
        <v>2</v>
      </c>
      <c r="G95" s="9" t="s">
        <v>324</v>
      </c>
      <c r="H95" s="1"/>
      <c r="I95" s="1"/>
      <c r="J95" s="1"/>
      <c r="K95" s="1"/>
      <c r="L95" s="1"/>
      <c r="M95" s="1"/>
      <c r="N95" s="1"/>
      <c r="O95" s="1"/>
      <c r="P95" s="1"/>
      <c r="Q95" s="1"/>
      <c r="R95" s="1"/>
      <c r="S95" s="1"/>
      <c r="T95" s="1"/>
      <c r="U95" s="1" t="s">
        <v>395</v>
      </c>
      <c r="V95" s="1"/>
      <c r="W95" s="1"/>
      <c r="X95" s="1"/>
      <c r="Y95" s="9"/>
      <c r="Z95" s="1"/>
      <c r="AA95" s="9"/>
      <c r="AB95" s="1"/>
      <c r="AC95" s="9"/>
      <c r="AD95" s="9"/>
      <c r="AE95" s="9"/>
      <c r="AF95" s="9"/>
      <c r="AG95" s="9"/>
      <c r="AH95" s="9"/>
      <c r="AI95" s="9"/>
      <c r="AJ95" s="9"/>
      <c r="AK95" s="9"/>
      <c r="AL95" s="9"/>
      <c r="AM95" s="12"/>
    </row>
    <row r="96" spans="1:39" x14ac:dyDescent="0.25">
      <c r="A96" s="3">
        <v>47</v>
      </c>
      <c r="B96" s="6" t="s">
        <v>147</v>
      </c>
      <c r="C96" s="3" t="s">
        <v>148</v>
      </c>
      <c r="D96" s="3" t="s">
        <v>149</v>
      </c>
      <c r="E96" s="3" t="s">
        <v>23</v>
      </c>
      <c r="F96" s="4" t="s">
        <v>1</v>
      </c>
      <c r="G96" s="10"/>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0"/>
      <c r="AJ96" s="10"/>
      <c r="AK96" s="11"/>
      <c r="AL96" s="11"/>
      <c r="AM96" s="13"/>
    </row>
    <row r="97" spans="1:39" x14ac:dyDescent="0.25">
      <c r="A97" s="3">
        <v>48</v>
      </c>
      <c r="B97" s="6" t="s">
        <v>150</v>
      </c>
      <c r="C97" s="3" t="s">
        <v>151</v>
      </c>
      <c r="D97" s="3" t="s">
        <v>152</v>
      </c>
      <c r="E97" s="3" t="s">
        <v>23</v>
      </c>
      <c r="F97" s="3" t="s">
        <v>2</v>
      </c>
      <c r="G97" s="9" t="s">
        <v>324</v>
      </c>
      <c r="H97" s="1"/>
      <c r="I97" s="1"/>
      <c r="J97" s="1"/>
      <c r="K97" s="1"/>
      <c r="L97" s="1"/>
      <c r="M97" s="1"/>
      <c r="N97" s="1"/>
      <c r="O97" s="1"/>
      <c r="P97" s="1"/>
      <c r="Q97" s="1"/>
      <c r="R97" s="1"/>
      <c r="S97" s="1"/>
      <c r="T97" s="1"/>
      <c r="U97" s="1" t="s">
        <v>396</v>
      </c>
      <c r="V97" s="1"/>
      <c r="W97" s="1"/>
      <c r="X97" s="1"/>
      <c r="Y97" s="9"/>
      <c r="Z97" s="1"/>
      <c r="AA97" s="9"/>
      <c r="AB97" s="1"/>
      <c r="AC97" s="9"/>
      <c r="AD97" s="9"/>
      <c r="AE97" s="9"/>
      <c r="AF97" s="9"/>
      <c r="AG97" s="9"/>
      <c r="AH97" s="9"/>
      <c r="AI97" s="9"/>
      <c r="AJ97" s="9"/>
      <c r="AK97" s="9"/>
      <c r="AL97" s="9"/>
      <c r="AM97" s="12"/>
    </row>
    <row r="98" spans="1:39" x14ac:dyDescent="0.25">
      <c r="A98" s="3">
        <v>48</v>
      </c>
      <c r="B98" s="6" t="s">
        <v>150</v>
      </c>
      <c r="C98" s="3" t="s">
        <v>151</v>
      </c>
      <c r="D98" s="3" t="s">
        <v>152</v>
      </c>
      <c r="E98" s="3" t="s">
        <v>23</v>
      </c>
      <c r="F98" s="4" t="s">
        <v>1</v>
      </c>
      <c r="G98" s="10"/>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0"/>
      <c r="AJ98" s="10"/>
      <c r="AK98" s="11"/>
      <c r="AL98" s="11"/>
      <c r="AM98" s="13"/>
    </row>
    <row r="99" spans="1:39" x14ac:dyDescent="0.25">
      <c r="A99" s="3">
        <v>49</v>
      </c>
      <c r="B99" s="6" t="s">
        <v>153</v>
      </c>
      <c r="C99" s="3" t="s">
        <v>154</v>
      </c>
      <c r="D99" s="3" t="s">
        <v>155</v>
      </c>
      <c r="E99" s="3" t="s">
        <v>23</v>
      </c>
      <c r="F99" s="3" t="s">
        <v>2</v>
      </c>
      <c r="G99" s="9" t="s">
        <v>324</v>
      </c>
      <c r="H99" s="1"/>
      <c r="I99" s="1"/>
      <c r="J99" s="1"/>
      <c r="K99" s="1"/>
      <c r="L99" s="1"/>
      <c r="M99" s="1"/>
      <c r="N99" s="1"/>
      <c r="O99" s="1"/>
      <c r="P99" s="1"/>
      <c r="Q99" s="1"/>
      <c r="R99" s="1"/>
      <c r="S99" s="1"/>
      <c r="T99" s="1"/>
      <c r="U99" s="1" t="s">
        <v>397</v>
      </c>
      <c r="V99" s="1"/>
      <c r="W99" s="1"/>
      <c r="X99" s="1"/>
      <c r="Y99" s="9"/>
      <c r="Z99" s="1"/>
      <c r="AA99" s="9"/>
      <c r="AB99" s="1"/>
      <c r="AC99" s="9"/>
      <c r="AD99" s="9"/>
      <c r="AE99" s="9"/>
      <c r="AF99" s="9"/>
      <c r="AG99" s="9"/>
      <c r="AH99" s="9"/>
      <c r="AI99" s="9"/>
      <c r="AJ99" s="9"/>
      <c r="AK99" s="9"/>
      <c r="AL99" s="9"/>
      <c r="AM99" s="12"/>
    </row>
    <row r="100" spans="1:39" x14ac:dyDescent="0.25">
      <c r="A100" s="3">
        <v>49</v>
      </c>
      <c r="B100" s="6" t="s">
        <v>153</v>
      </c>
      <c r="C100" s="3" t="s">
        <v>154</v>
      </c>
      <c r="D100" s="3" t="s">
        <v>155</v>
      </c>
      <c r="E100" s="3" t="s">
        <v>23</v>
      </c>
      <c r="F100" s="4" t="s">
        <v>1</v>
      </c>
      <c r="G100" s="10"/>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0"/>
      <c r="AJ100" s="10"/>
      <c r="AK100" s="11"/>
      <c r="AL100" s="11"/>
      <c r="AM100" s="13"/>
    </row>
    <row r="101" spans="1:39" x14ac:dyDescent="0.25">
      <c r="A101" s="3">
        <v>50</v>
      </c>
      <c r="B101" s="6" t="s">
        <v>156</v>
      </c>
      <c r="C101" s="3" t="s">
        <v>157</v>
      </c>
      <c r="D101" s="3" t="s">
        <v>158</v>
      </c>
      <c r="E101" s="3" t="s">
        <v>23</v>
      </c>
      <c r="F101" s="3" t="s">
        <v>2</v>
      </c>
      <c r="G101" s="9" t="s">
        <v>324</v>
      </c>
      <c r="H101" s="1"/>
      <c r="I101" s="1"/>
      <c r="J101" s="1"/>
      <c r="K101" s="1"/>
      <c r="L101" s="1"/>
      <c r="M101" s="1"/>
      <c r="N101" s="1"/>
      <c r="O101" s="1"/>
      <c r="P101" s="1"/>
      <c r="Q101" s="1"/>
      <c r="R101" s="1"/>
      <c r="S101" s="1"/>
      <c r="T101" s="1"/>
      <c r="U101" s="1" t="s">
        <v>398</v>
      </c>
      <c r="V101" s="1"/>
      <c r="W101" s="1"/>
      <c r="X101" s="1"/>
      <c r="Y101" s="9"/>
      <c r="Z101" s="1"/>
      <c r="AA101" s="9"/>
      <c r="AB101" s="1"/>
      <c r="AC101" s="9"/>
      <c r="AD101" s="9"/>
      <c r="AE101" s="9"/>
      <c r="AF101" s="9"/>
      <c r="AG101" s="9"/>
      <c r="AH101" s="9"/>
      <c r="AI101" s="9"/>
      <c r="AJ101" s="9"/>
      <c r="AK101" s="9"/>
      <c r="AL101" s="9"/>
      <c r="AM101" s="12"/>
    </row>
    <row r="102" spans="1:39" x14ac:dyDescent="0.25">
      <c r="A102" s="3">
        <v>50</v>
      </c>
      <c r="B102" s="6" t="s">
        <v>156</v>
      </c>
      <c r="C102" s="3" t="s">
        <v>157</v>
      </c>
      <c r="D102" s="3" t="s">
        <v>158</v>
      </c>
      <c r="E102" s="3" t="s">
        <v>23</v>
      </c>
      <c r="F102" s="4" t="s">
        <v>1</v>
      </c>
      <c r="G102" s="10"/>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0"/>
      <c r="AJ102" s="10"/>
      <c r="AK102" s="11"/>
      <c r="AL102" s="11"/>
      <c r="AM102" s="13"/>
    </row>
    <row r="103" spans="1:39" x14ac:dyDescent="0.25">
      <c r="A103" s="3">
        <v>51</v>
      </c>
      <c r="B103" s="6" t="s">
        <v>159</v>
      </c>
      <c r="C103" s="3" t="s">
        <v>160</v>
      </c>
      <c r="D103" s="3" t="s">
        <v>161</v>
      </c>
      <c r="E103" s="3" t="s">
        <v>23</v>
      </c>
      <c r="F103" s="3" t="s">
        <v>2</v>
      </c>
      <c r="G103" s="9" t="s">
        <v>324</v>
      </c>
      <c r="H103" s="1"/>
      <c r="I103" s="1"/>
      <c r="J103" s="1"/>
      <c r="K103" s="1"/>
      <c r="L103" s="1"/>
      <c r="M103" s="1"/>
      <c r="N103" s="1"/>
      <c r="O103" s="1"/>
      <c r="P103" s="1"/>
      <c r="Q103" s="1"/>
      <c r="R103" s="1"/>
      <c r="S103" s="1"/>
      <c r="T103" s="1"/>
      <c r="U103" s="1" t="s">
        <v>399</v>
      </c>
      <c r="V103" s="1"/>
      <c r="W103" s="1"/>
      <c r="X103" s="1"/>
      <c r="Y103" s="9"/>
      <c r="Z103" s="1"/>
      <c r="AA103" s="9"/>
      <c r="AB103" s="1"/>
      <c r="AC103" s="9"/>
      <c r="AD103" s="9"/>
      <c r="AE103" s="9"/>
      <c r="AF103" s="9"/>
      <c r="AG103" s="9"/>
      <c r="AH103" s="9"/>
      <c r="AI103" s="9"/>
      <c r="AJ103" s="9"/>
      <c r="AK103" s="9"/>
      <c r="AL103" s="9"/>
      <c r="AM103" s="12"/>
    </row>
    <row r="104" spans="1:39" x14ac:dyDescent="0.25">
      <c r="A104" s="3">
        <v>51</v>
      </c>
      <c r="B104" s="6" t="s">
        <v>159</v>
      </c>
      <c r="C104" s="3" t="s">
        <v>160</v>
      </c>
      <c r="D104" s="3" t="s">
        <v>161</v>
      </c>
      <c r="E104" s="3" t="s">
        <v>23</v>
      </c>
      <c r="F104" s="4" t="s">
        <v>1</v>
      </c>
      <c r="G104" s="10"/>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0"/>
      <c r="AJ104" s="10"/>
      <c r="AK104" s="11"/>
      <c r="AL104" s="11"/>
      <c r="AM104" s="13"/>
    </row>
    <row r="105" spans="1:39" x14ac:dyDescent="0.25">
      <c r="A105" s="3">
        <v>52</v>
      </c>
      <c r="B105" s="6" t="s">
        <v>162</v>
      </c>
      <c r="C105" s="3" t="s">
        <v>163</v>
      </c>
      <c r="D105" s="3" t="s">
        <v>164</v>
      </c>
      <c r="E105" s="3" t="s">
        <v>23</v>
      </c>
      <c r="F105" s="3" t="s">
        <v>2</v>
      </c>
      <c r="G105" s="9" t="s">
        <v>324</v>
      </c>
      <c r="H105" s="1"/>
      <c r="I105" s="1"/>
      <c r="J105" s="1"/>
      <c r="K105" s="1"/>
      <c r="L105" s="1"/>
      <c r="M105" s="1"/>
      <c r="N105" s="1"/>
      <c r="O105" s="1"/>
      <c r="P105" s="1"/>
      <c r="Q105" s="1"/>
      <c r="R105" s="1"/>
      <c r="S105" s="1"/>
      <c r="T105" s="1"/>
      <c r="U105" s="1" t="s">
        <v>400</v>
      </c>
      <c r="V105" s="1"/>
      <c r="W105" s="1"/>
      <c r="X105" s="1"/>
      <c r="Y105" s="9"/>
      <c r="Z105" s="1"/>
      <c r="AA105" s="9"/>
      <c r="AB105" s="1"/>
      <c r="AC105" s="9"/>
      <c r="AD105" s="9"/>
      <c r="AE105" s="9"/>
      <c r="AF105" s="9"/>
      <c r="AG105" s="9"/>
      <c r="AH105" s="9"/>
      <c r="AI105" s="9"/>
      <c r="AJ105" s="9"/>
      <c r="AK105" s="9"/>
      <c r="AL105" s="9"/>
      <c r="AM105" s="12"/>
    </row>
    <row r="106" spans="1:39" x14ac:dyDescent="0.25">
      <c r="A106" s="3">
        <v>52</v>
      </c>
      <c r="B106" s="6" t="s">
        <v>162</v>
      </c>
      <c r="C106" s="3" t="s">
        <v>163</v>
      </c>
      <c r="D106" s="3" t="s">
        <v>164</v>
      </c>
      <c r="E106" s="3" t="s">
        <v>23</v>
      </c>
      <c r="F106" s="4" t="s">
        <v>1</v>
      </c>
      <c r="G106" s="10"/>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0"/>
      <c r="AJ106" s="10"/>
      <c r="AK106" s="11"/>
      <c r="AL106" s="11"/>
      <c r="AM106" s="13"/>
    </row>
    <row r="107" spans="1:39" x14ac:dyDescent="0.25">
      <c r="A107" s="3">
        <v>53</v>
      </c>
      <c r="B107" s="6" t="s">
        <v>165</v>
      </c>
      <c r="C107" s="3" t="s">
        <v>166</v>
      </c>
      <c r="D107" s="3" t="s">
        <v>167</v>
      </c>
      <c r="E107" s="3" t="s">
        <v>23</v>
      </c>
      <c r="F107" s="3" t="s">
        <v>2</v>
      </c>
      <c r="G107" s="9" t="s">
        <v>324</v>
      </c>
      <c r="H107" s="1"/>
      <c r="I107" s="1"/>
      <c r="J107" s="1"/>
      <c r="K107" s="1"/>
      <c r="L107" s="1"/>
      <c r="M107" s="1"/>
      <c r="N107" s="1"/>
      <c r="O107" s="1"/>
      <c r="P107" s="1"/>
      <c r="Q107" s="1"/>
      <c r="R107" s="1"/>
      <c r="S107" s="1"/>
      <c r="T107" s="1"/>
      <c r="U107" s="1" t="s">
        <v>401</v>
      </c>
      <c r="V107" s="1"/>
      <c r="W107" s="1"/>
      <c r="X107" s="1"/>
      <c r="Y107" s="9"/>
      <c r="Z107" s="1"/>
      <c r="AA107" s="9"/>
      <c r="AB107" s="1"/>
      <c r="AC107" s="9"/>
      <c r="AD107" s="9"/>
      <c r="AE107" s="9"/>
      <c r="AF107" s="9"/>
      <c r="AG107" s="9"/>
      <c r="AH107" s="9"/>
      <c r="AI107" s="9"/>
      <c r="AJ107" s="9"/>
      <c r="AK107" s="9"/>
      <c r="AL107" s="9"/>
      <c r="AM107" s="12"/>
    </row>
    <row r="108" spans="1:39" x14ac:dyDescent="0.25">
      <c r="A108" s="3">
        <v>53</v>
      </c>
      <c r="B108" s="6" t="s">
        <v>165</v>
      </c>
      <c r="C108" s="3" t="s">
        <v>166</v>
      </c>
      <c r="D108" s="3" t="s">
        <v>167</v>
      </c>
      <c r="E108" s="3" t="s">
        <v>23</v>
      </c>
      <c r="F108" s="4" t="s">
        <v>1</v>
      </c>
      <c r="G108" s="10"/>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0"/>
      <c r="AJ108" s="10"/>
      <c r="AK108" s="11"/>
      <c r="AL108" s="11"/>
      <c r="AM108" s="13"/>
    </row>
    <row r="109" spans="1:39" x14ac:dyDescent="0.25">
      <c r="A109" s="3">
        <v>54</v>
      </c>
      <c r="B109" s="6" t="s">
        <v>168</v>
      </c>
      <c r="C109" s="3" t="s">
        <v>169</v>
      </c>
      <c r="D109" s="3" t="s">
        <v>170</v>
      </c>
      <c r="E109" s="3" t="s">
        <v>23</v>
      </c>
      <c r="F109" s="3" t="s">
        <v>2</v>
      </c>
      <c r="G109" s="9" t="s">
        <v>324</v>
      </c>
      <c r="H109" s="1"/>
      <c r="I109" s="1"/>
      <c r="J109" s="1"/>
      <c r="K109" s="1"/>
      <c r="L109" s="1"/>
      <c r="M109" s="1"/>
      <c r="N109" s="1"/>
      <c r="O109" s="1"/>
      <c r="P109" s="1"/>
      <c r="Q109" s="1"/>
      <c r="R109" s="1"/>
      <c r="S109" s="1"/>
      <c r="T109" s="1"/>
      <c r="U109" s="1" t="s">
        <v>402</v>
      </c>
      <c r="V109" s="1"/>
      <c r="W109" s="1"/>
      <c r="X109" s="1"/>
      <c r="Y109" s="9"/>
      <c r="Z109" s="1"/>
      <c r="AA109" s="9"/>
      <c r="AB109" s="1"/>
      <c r="AC109" s="9"/>
      <c r="AD109" s="9"/>
      <c r="AE109" s="9"/>
      <c r="AF109" s="9"/>
      <c r="AG109" s="9"/>
      <c r="AH109" s="9"/>
      <c r="AI109" s="9"/>
      <c r="AJ109" s="9"/>
      <c r="AK109" s="9"/>
      <c r="AL109" s="9"/>
      <c r="AM109" s="12"/>
    </row>
    <row r="110" spans="1:39" x14ac:dyDescent="0.25">
      <c r="A110" s="3">
        <v>54</v>
      </c>
      <c r="B110" s="6" t="s">
        <v>168</v>
      </c>
      <c r="C110" s="3" t="s">
        <v>169</v>
      </c>
      <c r="D110" s="3" t="s">
        <v>170</v>
      </c>
      <c r="E110" s="3" t="s">
        <v>23</v>
      </c>
      <c r="F110" s="4" t="s">
        <v>1</v>
      </c>
      <c r="G110" s="10"/>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0"/>
      <c r="AJ110" s="10"/>
      <c r="AK110" s="11"/>
      <c r="AL110" s="11"/>
      <c r="AM110" s="13"/>
    </row>
    <row r="111" spans="1:39" x14ac:dyDescent="0.25">
      <c r="A111" s="3">
        <v>55</v>
      </c>
      <c r="B111" s="6" t="s">
        <v>171</v>
      </c>
      <c r="C111" s="3" t="s">
        <v>172</v>
      </c>
      <c r="D111" s="3" t="s">
        <v>173</v>
      </c>
      <c r="E111" s="3" t="s">
        <v>23</v>
      </c>
      <c r="F111" s="3" t="s">
        <v>2</v>
      </c>
      <c r="G111" s="9" t="s">
        <v>324</v>
      </c>
      <c r="H111" s="1"/>
      <c r="I111" s="1"/>
      <c r="J111" s="1"/>
      <c r="K111" s="1"/>
      <c r="L111" s="1"/>
      <c r="M111" s="1"/>
      <c r="N111" s="1"/>
      <c r="O111" s="1"/>
      <c r="P111" s="1"/>
      <c r="Q111" s="1"/>
      <c r="R111" s="1"/>
      <c r="S111" s="1"/>
      <c r="T111" s="1"/>
      <c r="U111" s="1" t="s">
        <v>403</v>
      </c>
      <c r="V111" s="1"/>
      <c r="W111" s="1"/>
      <c r="X111" s="1"/>
      <c r="Y111" s="9"/>
      <c r="Z111" s="1"/>
      <c r="AA111" s="9"/>
      <c r="AB111" s="1"/>
      <c r="AC111" s="9"/>
      <c r="AD111" s="9"/>
      <c r="AE111" s="9"/>
      <c r="AF111" s="9"/>
      <c r="AG111" s="9"/>
      <c r="AH111" s="9"/>
      <c r="AI111" s="9"/>
      <c r="AJ111" s="9"/>
      <c r="AK111" s="9"/>
      <c r="AL111" s="9"/>
      <c r="AM111" s="12"/>
    </row>
    <row r="112" spans="1:39" x14ac:dyDescent="0.25">
      <c r="A112" s="3">
        <v>55</v>
      </c>
      <c r="B112" s="6" t="s">
        <v>171</v>
      </c>
      <c r="C112" s="3" t="s">
        <v>172</v>
      </c>
      <c r="D112" s="3" t="s">
        <v>173</v>
      </c>
      <c r="E112" s="3" t="s">
        <v>23</v>
      </c>
      <c r="F112" s="4" t="s">
        <v>1</v>
      </c>
      <c r="G112" s="10"/>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0"/>
      <c r="AJ112" s="10"/>
      <c r="AK112" s="11"/>
      <c r="AL112" s="11"/>
      <c r="AM112" s="13"/>
    </row>
    <row r="113" spans="1:39" x14ac:dyDescent="0.25">
      <c r="A113" s="3">
        <v>56</v>
      </c>
      <c r="B113" s="6" t="s">
        <v>174</v>
      </c>
      <c r="C113" s="3" t="s">
        <v>175</v>
      </c>
      <c r="D113" s="3" t="s">
        <v>176</v>
      </c>
      <c r="E113" s="3" t="s">
        <v>23</v>
      </c>
      <c r="F113" s="3" t="s">
        <v>2</v>
      </c>
      <c r="G113" s="9" t="s">
        <v>324</v>
      </c>
      <c r="H113" s="1"/>
      <c r="I113" s="1"/>
      <c r="J113" s="1"/>
      <c r="K113" s="1"/>
      <c r="L113" s="1"/>
      <c r="M113" s="1"/>
      <c r="N113" s="1"/>
      <c r="O113" s="1"/>
      <c r="P113" s="1"/>
      <c r="Q113" s="1"/>
      <c r="R113" s="1"/>
      <c r="S113" s="1"/>
      <c r="T113" s="1"/>
      <c r="U113" s="1" t="s">
        <v>404</v>
      </c>
      <c r="V113" s="1"/>
      <c r="W113" s="1"/>
      <c r="X113" s="1"/>
      <c r="Y113" s="9"/>
      <c r="Z113" s="1"/>
      <c r="AA113" s="9"/>
      <c r="AB113" s="1"/>
      <c r="AC113" s="9"/>
      <c r="AD113" s="9"/>
      <c r="AE113" s="9"/>
      <c r="AF113" s="9"/>
      <c r="AG113" s="9"/>
      <c r="AH113" s="9"/>
      <c r="AI113" s="9"/>
      <c r="AJ113" s="9"/>
      <c r="AK113" s="9"/>
      <c r="AL113" s="9"/>
      <c r="AM113" s="12"/>
    </row>
    <row r="114" spans="1:39" x14ac:dyDescent="0.25">
      <c r="A114" s="3">
        <v>56</v>
      </c>
      <c r="B114" s="6" t="s">
        <v>174</v>
      </c>
      <c r="C114" s="3" t="s">
        <v>175</v>
      </c>
      <c r="D114" s="3" t="s">
        <v>176</v>
      </c>
      <c r="E114" s="3" t="s">
        <v>23</v>
      </c>
      <c r="F114" s="4" t="s">
        <v>1</v>
      </c>
      <c r="G114" s="10"/>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0"/>
      <c r="AJ114" s="10"/>
      <c r="AK114" s="11"/>
      <c r="AL114" s="11"/>
      <c r="AM114" s="13"/>
    </row>
    <row r="115" spans="1:39" x14ac:dyDescent="0.25">
      <c r="A115" s="3">
        <v>57</v>
      </c>
      <c r="B115" s="6" t="s">
        <v>177</v>
      </c>
      <c r="C115" s="3" t="s">
        <v>178</v>
      </c>
      <c r="D115" s="3" t="s">
        <v>179</v>
      </c>
      <c r="E115" s="3" t="s">
        <v>23</v>
      </c>
      <c r="F115" s="3" t="s">
        <v>2</v>
      </c>
      <c r="G115" s="9" t="s">
        <v>324</v>
      </c>
      <c r="H115" s="1"/>
      <c r="I115" s="1"/>
      <c r="J115" s="1"/>
      <c r="K115" s="1"/>
      <c r="L115" s="1"/>
      <c r="M115" s="1"/>
      <c r="N115" s="1"/>
      <c r="O115" s="1"/>
      <c r="P115" s="1"/>
      <c r="Q115" s="1"/>
      <c r="R115" s="1"/>
      <c r="S115" s="1"/>
      <c r="T115" s="1"/>
      <c r="U115" s="1" t="s">
        <v>405</v>
      </c>
      <c r="V115" s="1"/>
      <c r="W115" s="1"/>
      <c r="X115" s="1"/>
      <c r="Y115" s="9"/>
      <c r="Z115" s="1"/>
      <c r="AA115" s="9"/>
      <c r="AB115" s="1"/>
      <c r="AC115" s="9"/>
      <c r="AD115" s="9"/>
      <c r="AE115" s="9"/>
      <c r="AF115" s="9"/>
      <c r="AG115" s="9"/>
      <c r="AH115" s="9"/>
      <c r="AI115" s="9"/>
      <c r="AJ115" s="9"/>
      <c r="AK115" s="9"/>
      <c r="AL115" s="9"/>
      <c r="AM115" s="12"/>
    </row>
    <row r="116" spans="1:39" x14ac:dyDescent="0.25">
      <c r="A116" s="3">
        <v>57</v>
      </c>
      <c r="B116" s="6" t="s">
        <v>177</v>
      </c>
      <c r="C116" s="3" t="s">
        <v>178</v>
      </c>
      <c r="D116" s="3" t="s">
        <v>179</v>
      </c>
      <c r="E116" s="3" t="s">
        <v>23</v>
      </c>
      <c r="F116" s="4" t="s">
        <v>1</v>
      </c>
      <c r="G116" s="10"/>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0"/>
      <c r="AJ116" s="10"/>
      <c r="AK116" s="11"/>
      <c r="AL116" s="11"/>
      <c r="AM116" s="13"/>
    </row>
    <row r="117" spans="1:39" x14ac:dyDescent="0.25">
      <c r="A117" s="3">
        <v>58</v>
      </c>
      <c r="B117" s="6" t="s">
        <v>180</v>
      </c>
      <c r="C117" s="3" t="s">
        <v>181</v>
      </c>
      <c r="D117" s="3" t="s">
        <v>182</v>
      </c>
      <c r="E117" s="3" t="s">
        <v>23</v>
      </c>
      <c r="F117" s="3" t="s">
        <v>2</v>
      </c>
      <c r="G117" s="9" t="s">
        <v>324</v>
      </c>
      <c r="H117" s="1"/>
      <c r="I117" s="1"/>
      <c r="J117" s="1"/>
      <c r="K117" s="1"/>
      <c r="L117" s="1"/>
      <c r="M117" s="1"/>
      <c r="N117" s="1"/>
      <c r="O117" s="1"/>
      <c r="P117" s="1"/>
      <c r="Q117" s="1"/>
      <c r="R117" s="1"/>
      <c r="S117" s="1"/>
      <c r="T117" s="1"/>
      <c r="U117" s="1" t="s">
        <v>406</v>
      </c>
      <c r="V117" s="1"/>
      <c r="W117" s="1"/>
      <c r="X117" s="1"/>
      <c r="Y117" s="9"/>
      <c r="Z117" s="1"/>
      <c r="AA117" s="9"/>
      <c r="AB117" s="1"/>
      <c r="AC117" s="9"/>
      <c r="AD117" s="9"/>
      <c r="AE117" s="9"/>
      <c r="AF117" s="9"/>
      <c r="AG117" s="9"/>
      <c r="AH117" s="9"/>
      <c r="AI117" s="9"/>
      <c r="AJ117" s="9"/>
      <c r="AK117" s="9"/>
      <c r="AL117" s="9"/>
      <c r="AM117" s="12"/>
    </row>
    <row r="118" spans="1:39" x14ac:dyDescent="0.25">
      <c r="A118" s="3">
        <v>58</v>
      </c>
      <c r="B118" s="6" t="s">
        <v>180</v>
      </c>
      <c r="C118" s="3" t="s">
        <v>181</v>
      </c>
      <c r="D118" s="3" t="s">
        <v>182</v>
      </c>
      <c r="E118" s="3" t="s">
        <v>23</v>
      </c>
      <c r="F118" s="4" t="s">
        <v>1</v>
      </c>
      <c r="G118" s="10"/>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0"/>
      <c r="AJ118" s="10"/>
      <c r="AK118" s="11"/>
      <c r="AL118" s="11"/>
      <c r="AM118" s="13"/>
    </row>
    <row r="119" spans="1:39" x14ac:dyDescent="0.25">
      <c r="A119" s="3">
        <v>59</v>
      </c>
      <c r="B119" s="6" t="s">
        <v>183</v>
      </c>
      <c r="C119" s="3" t="s">
        <v>184</v>
      </c>
      <c r="D119" s="3" t="s">
        <v>185</v>
      </c>
      <c r="E119" s="3" t="s">
        <v>23</v>
      </c>
      <c r="F119" s="3" t="s">
        <v>2</v>
      </c>
      <c r="G119" s="9" t="s">
        <v>407</v>
      </c>
      <c r="H119" s="1"/>
      <c r="I119" s="1"/>
      <c r="J119" s="1"/>
      <c r="K119" s="1"/>
      <c r="L119" s="1"/>
      <c r="M119" s="1"/>
      <c r="N119" s="1"/>
      <c r="O119" s="1"/>
      <c r="P119" s="1"/>
      <c r="Q119" s="1"/>
      <c r="R119" s="1"/>
      <c r="S119" s="1"/>
      <c r="T119" s="1"/>
      <c r="U119" s="1"/>
      <c r="V119" s="1" t="s">
        <v>408</v>
      </c>
      <c r="W119" s="1"/>
      <c r="X119" s="1"/>
      <c r="Y119" s="9"/>
      <c r="Z119" s="1"/>
      <c r="AA119" s="9"/>
      <c r="AB119" s="1"/>
      <c r="AC119" s="9"/>
      <c r="AD119" s="9"/>
      <c r="AE119" s="9"/>
      <c r="AF119" s="9"/>
      <c r="AG119" s="9"/>
      <c r="AH119" s="9"/>
      <c r="AI119" s="9"/>
      <c r="AJ119" s="9"/>
      <c r="AK119" s="9"/>
      <c r="AL119" s="9"/>
      <c r="AM119" s="12"/>
    </row>
    <row r="120" spans="1:39" x14ac:dyDescent="0.25">
      <c r="A120" s="3">
        <v>59</v>
      </c>
      <c r="B120" s="6" t="s">
        <v>183</v>
      </c>
      <c r="C120" s="3" t="s">
        <v>184</v>
      </c>
      <c r="D120" s="3" t="s">
        <v>185</v>
      </c>
      <c r="E120" s="3" t="s">
        <v>23</v>
      </c>
      <c r="F120" s="4" t="s">
        <v>1</v>
      </c>
      <c r="G120" s="10"/>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0"/>
      <c r="AJ120" s="10"/>
      <c r="AK120" s="11"/>
      <c r="AL120" s="11"/>
      <c r="AM120" s="13"/>
    </row>
    <row r="121" spans="1:39" x14ac:dyDescent="0.25">
      <c r="A121" s="3">
        <v>60</v>
      </c>
      <c r="B121" s="6" t="s">
        <v>186</v>
      </c>
      <c r="C121" s="3" t="s">
        <v>187</v>
      </c>
      <c r="D121" s="3" t="s">
        <v>188</v>
      </c>
      <c r="E121" s="3" t="s">
        <v>23</v>
      </c>
      <c r="F121" s="3" t="s">
        <v>2</v>
      </c>
      <c r="G121" s="9" t="s">
        <v>324</v>
      </c>
      <c r="H121" s="1"/>
      <c r="I121" s="1"/>
      <c r="J121" s="1"/>
      <c r="K121" s="1"/>
      <c r="L121" s="1"/>
      <c r="M121" s="1"/>
      <c r="N121" s="1"/>
      <c r="O121" s="1"/>
      <c r="P121" s="1"/>
      <c r="Q121" s="1"/>
      <c r="R121" s="1"/>
      <c r="S121" s="1"/>
      <c r="T121" s="1"/>
      <c r="U121" s="1"/>
      <c r="V121" s="1" t="s">
        <v>409</v>
      </c>
      <c r="W121" s="1"/>
      <c r="X121" s="1"/>
      <c r="Y121" s="9"/>
      <c r="Z121" s="1"/>
      <c r="AA121" s="9"/>
      <c r="AB121" s="1"/>
      <c r="AC121" s="9"/>
      <c r="AD121" s="9"/>
      <c r="AE121" s="9"/>
      <c r="AF121" s="9"/>
      <c r="AG121" s="9"/>
      <c r="AH121" s="9"/>
      <c r="AI121" s="9"/>
      <c r="AJ121" s="9"/>
      <c r="AK121" s="9"/>
      <c r="AL121" s="9"/>
      <c r="AM121" s="12"/>
    </row>
    <row r="122" spans="1:39" x14ac:dyDescent="0.25">
      <c r="A122" s="3">
        <v>60</v>
      </c>
      <c r="B122" s="6" t="s">
        <v>186</v>
      </c>
      <c r="C122" s="3" t="s">
        <v>187</v>
      </c>
      <c r="D122" s="3" t="s">
        <v>188</v>
      </c>
      <c r="E122" s="3" t="s">
        <v>23</v>
      </c>
      <c r="F122" s="4" t="s">
        <v>1</v>
      </c>
      <c r="G122" s="10"/>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0"/>
      <c r="AJ122" s="10"/>
      <c r="AK122" s="11"/>
      <c r="AL122" s="11"/>
      <c r="AM122" s="13"/>
    </row>
    <row r="123" spans="1:39" ht="26.4" x14ac:dyDescent="0.25">
      <c r="A123" s="3">
        <v>61</v>
      </c>
      <c r="B123" s="6" t="s">
        <v>189</v>
      </c>
      <c r="C123" s="3" t="s">
        <v>190</v>
      </c>
      <c r="D123" s="3" t="s">
        <v>191</v>
      </c>
      <c r="E123" s="3" t="s">
        <v>23</v>
      </c>
      <c r="F123" s="3" t="s">
        <v>2</v>
      </c>
      <c r="G123" s="9" t="s">
        <v>324</v>
      </c>
      <c r="H123" s="1"/>
      <c r="I123" s="1"/>
      <c r="J123" s="1"/>
      <c r="K123" s="1"/>
      <c r="L123" s="1"/>
      <c r="M123" s="1"/>
      <c r="N123" s="1"/>
      <c r="O123" s="1"/>
      <c r="P123" s="1"/>
      <c r="Q123" s="1"/>
      <c r="R123" s="1"/>
      <c r="S123" s="1"/>
      <c r="T123" s="1"/>
      <c r="U123" s="1" t="s">
        <v>410</v>
      </c>
      <c r="V123" s="1"/>
      <c r="W123" s="1"/>
      <c r="X123" s="1"/>
      <c r="Y123" s="9"/>
      <c r="Z123" s="1"/>
      <c r="AA123" s="9"/>
      <c r="AB123" s="1"/>
      <c r="AC123" s="9"/>
      <c r="AD123" s="9"/>
      <c r="AE123" s="9"/>
      <c r="AF123" s="9"/>
      <c r="AG123" s="9"/>
      <c r="AH123" s="9"/>
      <c r="AI123" s="9"/>
      <c r="AJ123" s="9"/>
      <c r="AK123" s="9"/>
      <c r="AL123" s="9"/>
      <c r="AM123" s="12"/>
    </row>
    <row r="124" spans="1:39" ht="26.4" x14ac:dyDescent="0.25">
      <c r="A124" s="3">
        <v>61</v>
      </c>
      <c r="B124" s="6" t="s">
        <v>189</v>
      </c>
      <c r="C124" s="3" t="s">
        <v>190</v>
      </c>
      <c r="D124" s="3" t="s">
        <v>191</v>
      </c>
      <c r="E124" s="3" t="s">
        <v>23</v>
      </c>
      <c r="F124" s="4" t="s">
        <v>1</v>
      </c>
      <c r="G124" s="10"/>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0"/>
      <c r="AJ124" s="10"/>
      <c r="AK124" s="11"/>
      <c r="AL124" s="11"/>
      <c r="AM124" s="13"/>
    </row>
    <row r="125" spans="1:39" ht="26.4" x14ac:dyDescent="0.25">
      <c r="A125" s="3">
        <v>62</v>
      </c>
      <c r="B125" s="6" t="s">
        <v>192</v>
      </c>
      <c r="C125" s="3" t="s">
        <v>193</v>
      </c>
      <c r="D125" s="3" t="s">
        <v>194</v>
      </c>
      <c r="E125" s="3" t="s">
        <v>23</v>
      </c>
      <c r="F125" s="3" t="s">
        <v>2</v>
      </c>
      <c r="G125" s="9" t="s">
        <v>324</v>
      </c>
      <c r="H125" s="1"/>
      <c r="I125" s="1"/>
      <c r="J125" s="1"/>
      <c r="K125" s="1"/>
      <c r="L125" s="1"/>
      <c r="M125" s="1"/>
      <c r="N125" s="1"/>
      <c r="O125" s="1"/>
      <c r="P125" s="1"/>
      <c r="Q125" s="1"/>
      <c r="R125" s="1"/>
      <c r="S125" s="1"/>
      <c r="T125" s="1"/>
      <c r="U125" s="1" t="s">
        <v>411</v>
      </c>
      <c r="V125" s="1"/>
      <c r="W125" s="1"/>
      <c r="X125" s="1"/>
      <c r="Y125" s="9"/>
      <c r="Z125" s="1"/>
      <c r="AA125" s="9"/>
      <c r="AB125" s="1"/>
      <c r="AC125" s="9"/>
      <c r="AD125" s="9"/>
      <c r="AE125" s="9"/>
      <c r="AF125" s="9"/>
      <c r="AG125" s="9"/>
      <c r="AH125" s="9"/>
      <c r="AI125" s="9"/>
      <c r="AJ125" s="9"/>
      <c r="AK125" s="9"/>
      <c r="AL125" s="9"/>
      <c r="AM125" s="12"/>
    </row>
    <row r="126" spans="1:39" ht="26.4" x14ac:dyDescent="0.25">
      <c r="A126" s="3">
        <v>62</v>
      </c>
      <c r="B126" s="6" t="s">
        <v>192</v>
      </c>
      <c r="C126" s="3" t="s">
        <v>193</v>
      </c>
      <c r="D126" s="3" t="s">
        <v>194</v>
      </c>
      <c r="E126" s="3" t="s">
        <v>23</v>
      </c>
      <c r="F126" s="4" t="s">
        <v>1</v>
      </c>
      <c r="G126" s="10"/>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0"/>
      <c r="AJ126" s="10"/>
      <c r="AK126" s="11"/>
      <c r="AL126" s="11"/>
      <c r="AM126" s="13"/>
    </row>
    <row r="127" spans="1:39" ht="26.4" x14ac:dyDescent="0.25">
      <c r="A127" s="3">
        <v>63</v>
      </c>
      <c r="B127" s="6" t="s">
        <v>195</v>
      </c>
      <c r="C127" s="3" t="s">
        <v>196</v>
      </c>
      <c r="D127" s="3" t="s">
        <v>197</v>
      </c>
      <c r="E127" s="3" t="s">
        <v>23</v>
      </c>
      <c r="F127" s="3" t="s">
        <v>2</v>
      </c>
      <c r="G127" s="9" t="s">
        <v>324</v>
      </c>
      <c r="H127" s="1"/>
      <c r="I127" s="1"/>
      <c r="J127" s="1"/>
      <c r="K127" s="1"/>
      <c r="L127" s="1"/>
      <c r="M127" s="1"/>
      <c r="N127" s="1"/>
      <c r="O127" s="1"/>
      <c r="P127" s="1"/>
      <c r="Q127" s="1"/>
      <c r="R127" s="1"/>
      <c r="S127" s="1"/>
      <c r="T127" s="1"/>
      <c r="U127" s="1" t="s">
        <v>412</v>
      </c>
      <c r="V127" s="1"/>
      <c r="W127" s="1"/>
      <c r="X127" s="1"/>
      <c r="Y127" s="9"/>
      <c r="Z127" s="1"/>
      <c r="AA127" s="9"/>
      <c r="AB127" s="1"/>
      <c r="AC127" s="9"/>
      <c r="AD127" s="9"/>
      <c r="AE127" s="9"/>
      <c r="AF127" s="9"/>
      <c r="AG127" s="9"/>
      <c r="AH127" s="9"/>
      <c r="AI127" s="9"/>
      <c r="AJ127" s="9"/>
      <c r="AK127" s="9"/>
      <c r="AL127" s="9"/>
      <c r="AM127" s="12"/>
    </row>
    <row r="128" spans="1:39" ht="26.4" x14ac:dyDescent="0.25">
      <c r="A128" s="3">
        <v>63</v>
      </c>
      <c r="B128" s="6" t="s">
        <v>195</v>
      </c>
      <c r="C128" s="3" t="s">
        <v>196</v>
      </c>
      <c r="D128" s="3" t="s">
        <v>197</v>
      </c>
      <c r="E128" s="3" t="s">
        <v>23</v>
      </c>
      <c r="F128" s="4" t="s">
        <v>1</v>
      </c>
      <c r="G128" s="10"/>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0"/>
      <c r="AJ128" s="10"/>
      <c r="AK128" s="11"/>
      <c r="AL128" s="11"/>
      <c r="AM128" s="13"/>
    </row>
    <row r="129" spans="1:39" x14ac:dyDescent="0.25">
      <c r="A129" s="3">
        <v>64</v>
      </c>
      <c r="B129" s="6" t="s">
        <v>198</v>
      </c>
      <c r="C129" s="3" t="s">
        <v>199</v>
      </c>
      <c r="D129" s="3" t="s">
        <v>200</v>
      </c>
      <c r="E129" s="3" t="s">
        <v>23</v>
      </c>
      <c r="F129" s="3" t="s">
        <v>2</v>
      </c>
      <c r="G129" s="9" t="s">
        <v>324</v>
      </c>
      <c r="H129" s="1"/>
      <c r="I129" s="1"/>
      <c r="J129" s="1"/>
      <c r="K129" s="1"/>
      <c r="L129" s="1"/>
      <c r="M129" s="1"/>
      <c r="N129" s="1"/>
      <c r="O129" s="1"/>
      <c r="P129" s="1"/>
      <c r="Q129" s="1"/>
      <c r="R129" s="1"/>
      <c r="S129" s="1"/>
      <c r="T129" s="1"/>
      <c r="U129" s="1" t="s">
        <v>413</v>
      </c>
      <c r="V129" s="1"/>
      <c r="W129" s="1"/>
      <c r="X129" s="1" t="s">
        <v>414</v>
      </c>
      <c r="Y129" s="9"/>
      <c r="Z129" s="1"/>
      <c r="AA129" s="9" t="s">
        <v>415</v>
      </c>
      <c r="AB129" s="1"/>
      <c r="AC129" s="9"/>
      <c r="AD129" s="9" t="s">
        <v>421</v>
      </c>
      <c r="AE129" s="9"/>
      <c r="AF129" s="9"/>
      <c r="AG129" s="9" t="s">
        <v>416</v>
      </c>
      <c r="AH129" s="9"/>
      <c r="AI129" s="9"/>
      <c r="AJ129" s="9" t="s">
        <v>417</v>
      </c>
      <c r="AK129" s="9"/>
      <c r="AL129" s="9"/>
      <c r="AM129" s="12"/>
    </row>
    <row r="130" spans="1:39" x14ac:dyDescent="0.25">
      <c r="A130" s="3">
        <v>64</v>
      </c>
      <c r="B130" s="6" t="s">
        <v>198</v>
      </c>
      <c r="C130" s="3" t="s">
        <v>199</v>
      </c>
      <c r="D130" s="3" t="s">
        <v>200</v>
      </c>
      <c r="E130" s="3" t="s">
        <v>23</v>
      </c>
      <c r="F130" s="4" t="s">
        <v>1</v>
      </c>
      <c r="G130" s="10"/>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0"/>
      <c r="AJ130" s="10"/>
      <c r="AK130" s="11"/>
      <c r="AL130" s="11"/>
      <c r="AM130" s="13"/>
    </row>
    <row r="131" spans="1:39" x14ac:dyDescent="0.25">
      <c r="A131" s="3">
        <v>65</v>
      </c>
      <c r="B131" s="6" t="s">
        <v>201</v>
      </c>
      <c r="C131" s="3" t="s">
        <v>202</v>
      </c>
      <c r="D131" s="3" t="s">
        <v>203</v>
      </c>
      <c r="E131" s="3" t="s">
        <v>23</v>
      </c>
      <c r="F131" s="3" t="s">
        <v>2</v>
      </c>
      <c r="G131" s="9" t="s">
        <v>324</v>
      </c>
      <c r="H131" s="1"/>
      <c r="I131" s="1"/>
      <c r="J131" s="1"/>
      <c r="K131" s="1"/>
      <c r="L131" s="1"/>
      <c r="M131" s="1"/>
      <c r="N131" s="1"/>
      <c r="O131" s="1"/>
      <c r="P131" s="1"/>
      <c r="Q131" s="1"/>
      <c r="R131" s="1"/>
      <c r="S131" s="1"/>
      <c r="T131" s="1"/>
      <c r="U131" s="1" t="s">
        <v>418</v>
      </c>
      <c r="V131" s="1"/>
      <c r="W131" s="1"/>
      <c r="X131" s="1" t="s">
        <v>419</v>
      </c>
      <c r="Y131" s="9"/>
      <c r="Z131" s="1"/>
      <c r="AA131" s="9" t="s">
        <v>420</v>
      </c>
      <c r="AB131" s="1"/>
      <c r="AC131" s="9"/>
      <c r="AD131" s="9" t="s">
        <v>422</v>
      </c>
      <c r="AE131" s="9"/>
      <c r="AF131" s="9"/>
      <c r="AG131" s="9" t="s">
        <v>423</v>
      </c>
      <c r="AH131" s="9"/>
      <c r="AI131" s="9"/>
      <c r="AJ131" s="9" t="s">
        <v>424</v>
      </c>
      <c r="AK131" s="9"/>
      <c r="AL131" s="9"/>
      <c r="AM131" s="12"/>
    </row>
    <row r="132" spans="1:39" x14ac:dyDescent="0.25">
      <c r="A132" s="3">
        <v>65</v>
      </c>
      <c r="B132" s="6" t="s">
        <v>201</v>
      </c>
      <c r="C132" s="3" t="s">
        <v>202</v>
      </c>
      <c r="D132" s="3" t="s">
        <v>203</v>
      </c>
      <c r="E132" s="3" t="s">
        <v>23</v>
      </c>
      <c r="F132" s="4" t="s">
        <v>1</v>
      </c>
      <c r="G132" s="10"/>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0"/>
      <c r="AJ132" s="10"/>
      <c r="AK132" s="11"/>
      <c r="AL132" s="11"/>
      <c r="AM132" s="13"/>
    </row>
    <row r="133" spans="1:39" x14ac:dyDescent="0.25">
      <c r="A133" s="3">
        <v>66</v>
      </c>
      <c r="B133" s="6" t="s">
        <v>204</v>
      </c>
      <c r="C133" s="3" t="s">
        <v>205</v>
      </c>
      <c r="D133" s="3" t="s">
        <v>206</v>
      </c>
      <c r="E133" s="3" t="s">
        <v>23</v>
      </c>
      <c r="F133" s="3" t="s">
        <v>2</v>
      </c>
      <c r="G133" s="9" t="s">
        <v>324</v>
      </c>
      <c r="H133" s="1" t="s">
        <v>425</v>
      </c>
      <c r="I133" s="1"/>
      <c r="J133" s="1"/>
      <c r="K133" s="1"/>
      <c r="L133" s="1"/>
      <c r="M133" s="1"/>
      <c r="N133" s="1"/>
      <c r="O133" s="1"/>
      <c r="P133" s="1"/>
      <c r="Q133" s="1"/>
      <c r="R133" s="1"/>
      <c r="S133" s="1"/>
      <c r="T133" s="1"/>
      <c r="U133" s="1"/>
      <c r="V133" s="1"/>
      <c r="W133" s="1" t="s">
        <v>324</v>
      </c>
      <c r="X133" s="1"/>
      <c r="Y133" s="9"/>
      <c r="Z133" s="1"/>
      <c r="AA133" s="9"/>
      <c r="AB133" s="1"/>
      <c r="AC133" s="9" t="s">
        <v>426</v>
      </c>
      <c r="AD133" s="9"/>
      <c r="AE133" s="9"/>
      <c r="AF133" s="9"/>
      <c r="AG133" s="9"/>
      <c r="AH133" s="9"/>
      <c r="AI133" s="9"/>
      <c r="AJ133" s="9"/>
      <c r="AK133" s="9"/>
      <c r="AL133" s="9"/>
      <c r="AM133" s="12"/>
    </row>
    <row r="134" spans="1:39" x14ac:dyDescent="0.25">
      <c r="A134" s="3">
        <v>66</v>
      </c>
      <c r="B134" s="6" t="s">
        <v>204</v>
      </c>
      <c r="C134" s="3" t="s">
        <v>205</v>
      </c>
      <c r="D134" s="3" t="s">
        <v>206</v>
      </c>
      <c r="E134" s="3" t="s">
        <v>23</v>
      </c>
      <c r="F134" s="4" t="s">
        <v>1</v>
      </c>
      <c r="G134" s="10"/>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0"/>
      <c r="AJ134" s="10"/>
      <c r="AK134" s="11"/>
      <c r="AL134" s="11"/>
      <c r="AM134" s="13"/>
    </row>
    <row r="135" spans="1:39" x14ac:dyDescent="0.25">
      <c r="A135" s="3">
        <v>67</v>
      </c>
      <c r="B135" s="6" t="s">
        <v>207</v>
      </c>
      <c r="C135" s="3" t="s">
        <v>208</v>
      </c>
      <c r="D135" s="3" t="s">
        <v>209</v>
      </c>
      <c r="E135" s="3" t="s">
        <v>23</v>
      </c>
      <c r="F135" s="3" t="s">
        <v>2</v>
      </c>
      <c r="G135" s="9" t="s">
        <v>324</v>
      </c>
      <c r="H135" s="1" t="s">
        <v>425</v>
      </c>
      <c r="I135" s="1"/>
      <c r="J135" s="1"/>
      <c r="K135" s="1"/>
      <c r="L135" s="1"/>
      <c r="M135" s="1"/>
      <c r="N135" s="1"/>
      <c r="O135" s="1"/>
      <c r="P135" s="1"/>
      <c r="Q135" s="1"/>
      <c r="R135" s="1"/>
      <c r="S135" s="1"/>
      <c r="T135" s="1"/>
      <c r="U135" s="1"/>
      <c r="V135" s="1"/>
      <c r="W135" s="1" t="s">
        <v>324</v>
      </c>
      <c r="X135" s="1"/>
      <c r="Y135" s="9"/>
      <c r="Z135" s="1"/>
      <c r="AA135" s="9"/>
      <c r="AB135" s="1"/>
      <c r="AC135" s="9" t="s">
        <v>427</v>
      </c>
      <c r="AD135" s="9"/>
      <c r="AE135" s="9"/>
      <c r="AF135" s="9"/>
      <c r="AG135" s="9"/>
      <c r="AH135" s="9"/>
      <c r="AI135" s="9"/>
      <c r="AJ135" s="9"/>
      <c r="AK135" s="9"/>
      <c r="AL135" s="9"/>
      <c r="AM135" s="12"/>
    </row>
    <row r="136" spans="1:39" x14ac:dyDescent="0.25">
      <c r="A136" s="3">
        <v>67</v>
      </c>
      <c r="B136" s="6" t="s">
        <v>207</v>
      </c>
      <c r="C136" s="3" t="s">
        <v>208</v>
      </c>
      <c r="D136" s="3" t="s">
        <v>209</v>
      </c>
      <c r="E136" s="3" t="s">
        <v>23</v>
      </c>
      <c r="F136" s="4" t="s">
        <v>1</v>
      </c>
      <c r="G136" s="10"/>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0"/>
      <c r="AJ136" s="10"/>
      <c r="AK136" s="11"/>
      <c r="AL136" s="11"/>
      <c r="AM136" s="13"/>
    </row>
    <row r="137" spans="1:39" x14ac:dyDescent="0.25">
      <c r="A137" s="3">
        <v>68</v>
      </c>
      <c r="B137" s="6" t="s">
        <v>210</v>
      </c>
      <c r="C137" s="3" t="s">
        <v>211</v>
      </c>
      <c r="D137" s="3" t="s">
        <v>212</v>
      </c>
      <c r="E137" s="3" t="s">
        <v>23</v>
      </c>
      <c r="F137" s="3" t="s">
        <v>2</v>
      </c>
      <c r="G137" s="9" t="s">
        <v>272</v>
      </c>
      <c r="H137" s="1"/>
      <c r="I137" s="1"/>
      <c r="J137" s="1"/>
      <c r="K137" s="1"/>
      <c r="L137" s="1"/>
      <c r="M137" s="1"/>
      <c r="N137" s="1"/>
      <c r="O137" s="1"/>
      <c r="P137" s="1"/>
      <c r="Q137" s="1"/>
      <c r="R137" s="1"/>
      <c r="S137" s="1"/>
      <c r="T137" s="1"/>
      <c r="U137" s="1"/>
      <c r="V137" s="1"/>
      <c r="W137" s="1" t="s">
        <v>428</v>
      </c>
      <c r="X137" s="1"/>
      <c r="Y137" s="9"/>
      <c r="Z137" s="1"/>
      <c r="AA137" s="9"/>
      <c r="AB137" s="1"/>
      <c r="AC137" s="9"/>
      <c r="AD137" s="9"/>
      <c r="AE137" s="9"/>
      <c r="AF137" s="9"/>
      <c r="AG137" s="9"/>
      <c r="AH137" s="9"/>
      <c r="AI137" s="9"/>
      <c r="AJ137" s="9"/>
      <c r="AK137" s="9"/>
      <c r="AL137" s="9"/>
      <c r="AM137" s="12"/>
    </row>
    <row r="138" spans="1:39" x14ac:dyDescent="0.25">
      <c r="A138" s="3">
        <v>68</v>
      </c>
      <c r="B138" s="6" t="s">
        <v>210</v>
      </c>
      <c r="C138" s="3" t="s">
        <v>211</v>
      </c>
      <c r="D138" s="3" t="s">
        <v>212</v>
      </c>
      <c r="E138" s="3" t="s">
        <v>23</v>
      </c>
      <c r="F138" s="4" t="s">
        <v>1</v>
      </c>
      <c r="G138" s="10"/>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0"/>
      <c r="AJ138" s="10"/>
      <c r="AK138" s="11"/>
      <c r="AL138" s="11"/>
      <c r="AM138" s="13"/>
    </row>
    <row r="139" spans="1:39" x14ac:dyDescent="0.25">
      <c r="A139" s="3">
        <v>69</v>
      </c>
      <c r="B139" s="6" t="s">
        <v>213</v>
      </c>
      <c r="C139" s="3" t="s">
        <v>214</v>
      </c>
      <c r="D139" s="3" t="s">
        <v>215</v>
      </c>
      <c r="E139" s="3" t="s">
        <v>23</v>
      </c>
      <c r="F139" s="3" t="s">
        <v>2</v>
      </c>
      <c r="G139" s="9" t="s">
        <v>272</v>
      </c>
      <c r="H139" s="1"/>
      <c r="I139" s="1"/>
      <c r="J139" s="1"/>
      <c r="K139" s="1"/>
      <c r="L139" s="1"/>
      <c r="M139" s="1"/>
      <c r="N139" s="1"/>
      <c r="O139" s="1"/>
      <c r="P139" s="1"/>
      <c r="Q139" s="1"/>
      <c r="R139" s="1"/>
      <c r="S139" s="1"/>
      <c r="T139" s="1"/>
      <c r="U139" s="1"/>
      <c r="V139" s="1"/>
      <c r="W139" s="1" t="s">
        <v>429</v>
      </c>
      <c r="X139" s="1"/>
      <c r="Y139" s="9"/>
      <c r="Z139" s="1"/>
      <c r="AA139" s="9"/>
      <c r="AB139" s="1"/>
      <c r="AC139" s="9"/>
      <c r="AD139" s="9"/>
      <c r="AE139" s="9"/>
      <c r="AF139" s="9"/>
      <c r="AG139" s="9"/>
      <c r="AH139" s="9"/>
      <c r="AI139" s="9"/>
      <c r="AJ139" s="9"/>
      <c r="AK139" s="9"/>
      <c r="AL139" s="9"/>
      <c r="AM139" s="12"/>
    </row>
    <row r="140" spans="1:39" x14ac:dyDescent="0.25">
      <c r="A140" s="3">
        <v>69</v>
      </c>
      <c r="B140" s="6" t="s">
        <v>213</v>
      </c>
      <c r="C140" s="3" t="s">
        <v>214</v>
      </c>
      <c r="D140" s="3" t="s">
        <v>215</v>
      </c>
      <c r="E140" s="3" t="s">
        <v>23</v>
      </c>
      <c r="F140" s="4" t="s">
        <v>1</v>
      </c>
      <c r="G140" s="10"/>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0"/>
      <c r="AJ140" s="10"/>
      <c r="AK140" s="11"/>
      <c r="AL140" s="11"/>
      <c r="AM140" s="13"/>
    </row>
    <row r="141" spans="1:39" x14ac:dyDescent="0.25">
      <c r="A141" s="3">
        <v>70</v>
      </c>
      <c r="B141" s="7" t="s">
        <v>216</v>
      </c>
      <c r="C141" s="3" t="s">
        <v>217</v>
      </c>
      <c r="D141" s="3" t="s">
        <v>218</v>
      </c>
      <c r="E141" s="3" t="s">
        <v>23</v>
      </c>
      <c r="F141" s="3" t="s">
        <v>2</v>
      </c>
      <c r="G141" s="9" t="s">
        <v>272</v>
      </c>
      <c r="H141" s="1"/>
      <c r="I141" s="1"/>
      <c r="J141" s="1"/>
      <c r="K141" s="1"/>
      <c r="L141" s="1"/>
      <c r="M141" s="1"/>
      <c r="N141" s="1"/>
      <c r="O141" s="1"/>
      <c r="P141" s="1"/>
      <c r="Q141" s="1"/>
      <c r="R141" s="1"/>
      <c r="S141" s="1"/>
      <c r="T141" s="1"/>
      <c r="U141" s="1"/>
      <c r="V141" s="1"/>
      <c r="W141" s="1" t="s">
        <v>430</v>
      </c>
      <c r="X141" s="1"/>
      <c r="Y141" s="9"/>
      <c r="Z141" s="1"/>
      <c r="AA141" s="9"/>
      <c r="AB141" s="1"/>
      <c r="AC141" s="9"/>
      <c r="AD141" s="9"/>
      <c r="AE141" s="9"/>
      <c r="AF141" s="9"/>
      <c r="AG141" s="9"/>
      <c r="AH141" s="9"/>
      <c r="AI141" s="9"/>
      <c r="AJ141" s="9"/>
      <c r="AK141" s="9"/>
      <c r="AL141" s="9"/>
      <c r="AM141" s="12"/>
    </row>
    <row r="142" spans="1:39" x14ac:dyDescent="0.25">
      <c r="A142" s="3">
        <v>70</v>
      </c>
      <c r="B142" s="7" t="s">
        <v>216</v>
      </c>
      <c r="C142" s="3" t="s">
        <v>217</v>
      </c>
      <c r="D142" s="3" t="s">
        <v>218</v>
      </c>
      <c r="E142" s="3" t="s">
        <v>23</v>
      </c>
      <c r="F142" s="4" t="s">
        <v>1</v>
      </c>
      <c r="G142" s="10"/>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0"/>
      <c r="AJ142" s="10"/>
      <c r="AK142" s="11"/>
      <c r="AL142" s="11"/>
      <c r="AM142" s="13"/>
    </row>
    <row r="143" spans="1:39" ht="26.4" x14ac:dyDescent="0.25">
      <c r="A143" s="3">
        <v>71</v>
      </c>
      <c r="B143" s="6" t="s">
        <v>219</v>
      </c>
      <c r="C143" s="3" t="s">
        <v>220</v>
      </c>
      <c r="D143" s="3" t="s">
        <v>221</v>
      </c>
      <c r="E143" s="3" t="s">
        <v>23</v>
      </c>
      <c r="F143" s="3" t="s">
        <v>2</v>
      </c>
      <c r="G143" s="9" t="s">
        <v>324</v>
      </c>
      <c r="H143" s="1"/>
      <c r="I143" s="1"/>
      <c r="J143" s="1"/>
      <c r="K143" s="1"/>
      <c r="L143" s="1"/>
      <c r="M143" s="1"/>
      <c r="N143" s="1"/>
      <c r="O143" s="1"/>
      <c r="P143" s="1"/>
      <c r="Q143" s="1"/>
      <c r="R143" s="1"/>
      <c r="S143" s="1"/>
      <c r="T143" s="1"/>
      <c r="U143" s="1" t="s">
        <v>431</v>
      </c>
      <c r="V143" s="1"/>
      <c r="W143" s="1"/>
      <c r="X143" s="1"/>
      <c r="Y143" s="9"/>
      <c r="Z143" s="1"/>
      <c r="AA143" s="9"/>
      <c r="AB143" s="1"/>
      <c r="AC143" s="9"/>
      <c r="AD143" s="9"/>
      <c r="AE143" s="9"/>
      <c r="AF143" s="9"/>
      <c r="AG143" s="9"/>
      <c r="AH143" s="9"/>
      <c r="AI143" s="9"/>
      <c r="AJ143" s="9"/>
      <c r="AK143" s="9"/>
      <c r="AL143" s="9"/>
      <c r="AM143" s="12"/>
    </row>
    <row r="144" spans="1:39" ht="26.4" x14ac:dyDescent="0.25">
      <c r="A144" s="3">
        <v>71</v>
      </c>
      <c r="B144" s="6" t="s">
        <v>219</v>
      </c>
      <c r="C144" s="3" t="s">
        <v>220</v>
      </c>
      <c r="D144" s="3" t="s">
        <v>221</v>
      </c>
      <c r="E144" s="3" t="s">
        <v>23</v>
      </c>
      <c r="F144" s="4" t="s">
        <v>1</v>
      </c>
      <c r="G144" s="10"/>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0"/>
      <c r="AJ144" s="10"/>
      <c r="AK144" s="11"/>
      <c r="AL144" s="11"/>
      <c r="AM144" s="13"/>
    </row>
    <row r="145" spans="1:39" ht="26.4" x14ac:dyDescent="0.25">
      <c r="A145" s="3">
        <v>72</v>
      </c>
      <c r="B145" s="6" t="s">
        <v>222</v>
      </c>
      <c r="C145" s="3" t="s">
        <v>223</v>
      </c>
      <c r="D145" s="3" t="s">
        <v>224</v>
      </c>
      <c r="E145" s="3" t="s">
        <v>23</v>
      </c>
      <c r="F145" s="3" t="s">
        <v>2</v>
      </c>
      <c r="G145" s="9" t="s">
        <v>324</v>
      </c>
      <c r="H145" s="1"/>
      <c r="I145" s="1"/>
      <c r="J145" s="1"/>
      <c r="K145" s="1"/>
      <c r="L145" s="1"/>
      <c r="M145" s="1"/>
      <c r="N145" s="1"/>
      <c r="O145" s="1"/>
      <c r="P145" s="1"/>
      <c r="Q145" s="1"/>
      <c r="R145" s="1"/>
      <c r="S145" s="1"/>
      <c r="T145" s="1"/>
      <c r="U145" s="1" t="s">
        <v>432</v>
      </c>
      <c r="V145" s="1"/>
      <c r="W145" s="1"/>
      <c r="X145" s="1"/>
      <c r="Y145" s="9"/>
      <c r="Z145" s="1"/>
      <c r="AA145" s="9"/>
      <c r="AB145" s="1"/>
      <c r="AC145" s="9"/>
      <c r="AD145" s="9"/>
      <c r="AE145" s="9"/>
      <c r="AF145" s="9"/>
      <c r="AG145" s="9"/>
      <c r="AH145" s="9"/>
      <c r="AI145" s="9"/>
      <c r="AJ145" s="9"/>
      <c r="AK145" s="9"/>
      <c r="AL145" s="9"/>
      <c r="AM145" s="12"/>
    </row>
    <row r="146" spans="1:39" ht="26.4" x14ac:dyDescent="0.25">
      <c r="A146" s="3">
        <v>72</v>
      </c>
      <c r="B146" s="6" t="s">
        <v>222</v>
      </c>
      <c r="C146" s="3" t="s">
        <v>223</v>
      </c>
      <c r="D146" s="3" t="s">
        <v>224</v>
      </c>
      <c r="E146" s="3" t="s">
        <v>23</v>
      </c>
      <c r="F146" s="4" t="s">
        <v>1</v>
      </c>
      <c r="G146" s="10"/>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0"/>
      <c r="AJ146" s="10"/>
      <c r="AK146" s="11"/>
      <c r="AL146" s="11"/>
      <c r="AM146" s="13"/>
    </row>
    <row r="147" spans="1:39" ht="26.4" x14ac:dyDescent="0.25">
      <c r="A147" s="3">
        <v>73</v>
      </c>
      <c r="B147" s="6" t="s">
        <v>225</v>
      </c>
      <c r="C147" s="3" t="s">
        <v>226</v>
      </c>
      <c r="D147" s="3" t="s">
        <v>227</v>
      </c>
      <c r="E147" s="3" t="s">
        <v>23</v>
      </c>
      <c r="F147" s="3" t="s">
        <v>2</v>
      </c>
      <c r="G147" s="9" t="s">
        <v>324</v>
      </c>
      <c r="H147" s="1"/>
      <c r="I147" s="1"/>
      <c r="J147" s="1"/>
      <c r="K147" s="1"/>
      <c r="L147" s="1"/>
      <c r="M147" s="1"/>
      <c r="N147" s="1"/>
      <c r="O147" s="1"/>
      <c r="P147" s="1"/>
      <c r="Q147" s="1"/>
      <c r="R147" s="1"/>
      <c r="S147" s="1"/>
      <c r="T147" s="1"/>
      <c r="U147" s="1" t="s">
        <v>433</v>
      </c>
      <c r="V147" s="1"/>
      <c r="W147" s="1"/>
      <c r="X147" s="1"/>
      <c r="Y147" s="9"/>
      <c r="Z147" s="1"/>
      <c r="AA147" s="9"/>
      <c r="AB147" s="1"/>
      <c r="AC147" s="9"/>
      <c r="AD147" s="9"/>
      <c r="AE147" s="9"/>
      <c r="AF147" s="9"/>
      <c r="AG147" s="9"/>
      <c r="AH147" s="9"/>
      <c r="AI147" s="9"/>
      <c r="AJ147" s="9"/>
      <c r="AK147" s="9"/>
      <c r="AL147" s="9"/>
      <c r="AM147" s="12"/>
    </row>
    <row r="148" spans="1:39" ht="26.4" x14ac:dyDescent="0.25">
      <c r="A148" s="3">
        <v>73</v>
      </c>
      <c r="B148" s="6" t="s">
        <v>225</v>
      </c>
      <c r="C148" s="3" t="s">
        <v>226</v>
      </c>
      <c r="D148" s="3" t="s">
        <v>227</v>
      </c>
      <c r="E148" s="3" t="s">
        <v>23</v>
      </c>
      <c r="F148" s="4" t="s">
        <v>1</v>
      </c>
      <c r="G148" s="10"/>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0"/>
      <c r="AJ148" s="10"/>
      <c r="AK148" s="11"/>
      <c r="AL148" s="11"/>
      <c r="AM148" s="13"/>
    </row>
    <row r="149" spans="1:39" x14ac:dyDescent="0.25">
      <c r="A149" s="3">
        <v>74</v>
      </c>
      <c r="B149" s="7" t="s">
        <v>228</v>
      </c>
      <c r="C149" s="3" t="s">
        <v>229</v>
      </c>
      <c r="D149" s="3" t="s">
        <v>230</v>
      </c>
      <c r="E149" s="3" t="s">
        <v>23</v>
      </c>
      <c r="F149" s="3" t="s">
        <v>2</v>
      </c>
      <c r="G149" s="9" t="s">
        <v>272</v>
      </c>
      <c r="H149" s="1"/>
      <c r="I149" s="1"/>
      <c r="J149" s="1"/>
      <c r="K149" s="1"/>
      <c r="L149" s="1"/>
      <c r="M149" s="1"/>
      <c r="N149" s="1"/>
      <c r="O149" s="1"/>
      <c r="P149" s="1"/>
      <c r="Q149" s="1"/>
      <c r="R149" s="1"/>
      <c r="S149" s="1"/>
      <c r="T149" s="1"/>
      <c r="U149" s="1"/>
      <c r="V149" s="1"/>
      <c r="W149" s="1" t="s">
        <v>434</v>
      </c>
      <c r="X149" s="1"/>
      <c r="Y149" s="9"/>
      <c r="Z149" s="1"/>
      <c r="AA149" s="9"/>
      <c r="AB149" s="1"/>
      <c r="AC149" s="9"/>
      <c r="AD149" s="9"/>
      <c r="AE149" s="9"/>
      <c r="AF149" s="9"/>
      <c r="AG149" s="9"/>
      <c r="AH149" s="9"/>
      <c r="AI149" s="9"/>
      <c r="AJ149" s="9"/>
      <c r="AK149" s="9"/>
      <c r="AL149" s="9"/>
      <c r="AM149" s="12"/>
    </row>
    <row r="150" spans="1:39" x14ac:dyDescent="0.25">
      <c r="A150" s="3">
        <v>74</v>
      </c>
      <c r="B150" s="7" t="s">
        <v>228</v>
      </c>
      <c r="C150" s="3" t="s">
        <v>229</v>
      </c>
      <c r="D150" s="3" t="s">
        <v>230</v>
      </c>
      <c r="E150" s="3" t="s">
        <v>23</v>
      </c>
      <c r="F150" s="4" t="s">
        <v>1</v>
      </c>
      <c r="G150" s="10"/>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0"/>
      <c r="AJ150" s="10"/>
      <c r="AK150" s="11"/>
      <c r="AL150" s="11"/>
      <c r="AM150" s="13"/>
    </row>
    <row r="151" spans="1:39" x14ac:dyDescent="0.25">
      <c r="A151" s="3">
        <v>75</v>
      </c>
      <c r="B151" s="6" t="s">
        <v>231</v>
      </c>
      <c r="C151" s="3" t="s">
        <v>232</v>
      </c>
      <c r="D151" s="3" t="s">
        <v>233</v>
      </c>
      <c r="E151" s="3" t="s">
        <v>23</v>
      </c>
      <c r="F151" s="3" t="s">
        <v>2</v>
      </c>
      <c r="G151" s="9" t="s">
        <v>272</v>
      </c>
      <c r="H151" s="1"/>
      <c r="I151" s="1"/>
      <c r="J151" s="1"/>
      <c r="K151" s="1"/>
      <c r="L151" s="1"/>
      <c r="M151" s="1"/>
      <c r="N151" s="1"/>
      <c r="O151" s="1"/>
      <c r="P151" s="1"/>
      <c r="Q151" s="1"/>
      <c r="R151" s="1"/>
      <c r="S151" s="1"/>
      <c r="T151" s="1"/>
      <c r="U151" s="1"/>
      <c r="V151" s="1"/>
      <c r="W151" s="1" t="s">
        <v>435</v>
      </c>
      <c r="X151" s="1"/>
      <c r="Y151" s="9"/>
      <c r="Z151" s="1"/>
      <c r="AA151" s="9"/>
      <c r="AB151" s="1"/>
      <c r="AC151" s="9"/>
      <c r="AD151" s="9"/>
      <c r="AE151" s="9"/>
      <c r="AF151" s="9"/>
      <c r="AG151" s="9"/>
      <c r="AH151" s="9"/>
      <c r="AI151" s="9"/>
      <c r="AJ151" s="9"/>
      <c r="AK151" s="9"/>
      <c r="AL151" s="9"/>
      <c r="AM151" s="12"/>
    </row>
    <row r="152" spans="1:39" x14ac:dyDescent="0.25">
      <c r="A152" s="3">
        <v>75</v>
      </c>
      <c r="B152" s="6" t="s">
        <v>231</v>
      </c>
      <c r="C152" s="3" t="s">
        <v>232</v>
      </c>
      <c r="D152" s="3" t="s">
        <v>233</v>
      </c>
      <c r="E152" s="3" t="s">
        <v>23</v>
      </c>
      <c r="F152" s="4" t="s">
        <v>1</v>
      </c>
      <c r="G152" s="10"/>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0"/>
      <c r="AJ152" s="10"/>
      <c r="AK152" s="11"/>
      <c r="AL152" s="11"/>
      <c r="AM152" s="13"/>
    </row>
    <row r="153" spans="1:39" x14ac:dyDescent="0.25">
      <c r="A153" s="3">
        <v>76</v>
      </c>
      <c r="B153" s="6" t="s">
        <v>234</v>
      </c>
      <c r="C153" s="3" t="s">
        <v>235</v>
      </c>
      <c r="D153" s="3" t="s">
        <v>236</v>
      </c>
      <c r="E153" s="3" t="s">
        <v>23</v>
      </c>
      <c r="F153" s="3" t="s">
        <v>2</v>
      </c>
      <c r="G153" s="9" t="s">
        <v>272</v>
      </c>
      <c r="H153" s="1"/>
      <c r="I153" s="1"/>
      <c r="J153" s="1"/>
      <c r="K153" s="1"/>
      <c r="L153" s="1"/>
      <c r="M153" s="1"/>
      <c r="N153" s="1"/>
      <c r="O153" s="1"/>
      <c r="P153" s="1"/>
      <c r="Q153" s="1"/>
      <c r="R153" s="1"/>
      <c r="S153" s="1"/>
      <c r="T153" s="1"/>
      <c r="U153" s="1"/>
      <c r="V153" s="1"/>
      <c r="W153" s="1" t="s">
        <v>436</v>
      </c>
      <c r="X153" s="1"/>
      <c r="Y153" s="9"/>
      <c r="Z153" s="1"/>
      <c r="AA153" s="9"/>
      <c r="AB153" s="1"/>
      <c r="AC153" s="9"/>
      <c r="AD153" s="9"/>
      <c r="AE153" s="9"/>
      <c r="AF153" s="9"/>
      <c r="AG153" s="9"/>
      <c r="AH153" s="9"/>
      <c r="AI153" s="9"/>
      <c r="AJ153" s="9"/>
      <c r="AK153" s="9"/>
      <c r="AL153" s="9"/>
      <c r="AM153" s="12"/>
    </row>
    <row r="154" spans="1:39" x14ac:dyDescent="0.25">
      <c r="A154" s="3">
        <v>76</v>
      </c>
      <c r="B154" s="6" t="s">
        <v>234</v>
      </c>
      <c r="C154" s="3" t="s">
        <v>235</v>
      </c>
      <c r="D154" s="3" t="s">
        <v>236</v>
      </c>
      <c r="E154" s="3" t="s">
        <v>23</v>
      </c>
      <c r="F154" s="4" t="s">
        <v>1</v>
      </c>
      <c r="G154" s="10"/>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0"/>
      <c r="AJ154" s="10"/>
      <c r="AK154" s="11"/>
      <c r="AL154" s="11"/>
      <c r="AM154" s="13"/>
    </row>
    <row r="155" spans="1:39" ht="26.4" x14ac:dyDescent="0.25">
      <c r="A155" s="3">
        <v>77</v>
      </c>
      <c r="B155" s="6" t="s">
        <v>237</v>
      </c>
      <c r="C155" s="3" t="s">
        <v>238</v>
      </c>
      <c r="D155" s="3" t="s">
        <v>239</v>
      </c>
      <c r="E155" s="3" t="s">
        <v>23</v>
      </c>
      <c r="F155" s="3" t="s">
        <v>2</v>
      </c>
      <c r="G155" s="9" t="s">
        <v>324</v>
      </c>
      <c r="H155" s="1"/>
      <c r="I155" s="1"/>
      <c r="J155" s="1"/>
      <c r="K155" s="1"/>
      <c r="L155" s="1"/>
      <c r="M155" s="1"/>
      <c r="N155" s="1"/>
      <c r="O155" s="1"/>
      <c r="P155" s="1"/>
      <c r="Q155" s="1"/>
      <c r="R155" s="1"/>
      <c r="S155" s="1"/>
      <c r="T155" s="1"/>
      <c r="U155" s="1" t="s">
        <v>438</v>
      </c>
      <c r="V155" s="1"/>
      <c r="W155" s="1"/>
      <c r="X155" s="1"/>
      <c r="Y155" s="9"/>
      <c r="Z155" s="1"/>
      <c r="AA155" s="9"/>
      <c r="AB155" s="1"/>
      <c r="AC155" s="9"/>
      <c r="AD155" s="9"/>
      <c r="AE155" s="9"/>
      <c r="AF155" s="9"/>
      <c r="AG155" s="9"/>
      <c r="AH155" s="9"/>
      <c r="AI155" s="9"/>
      <c r="AJ155" s="9"/>
      <c r="AK155" s="9"/>
      <c r="AL155" s="9"/>
      <c r="AM155" s="12"/>
    </row>
    <row r="156" spans="1:39" ht="26.4" x14ac:dyDescent="0.25">
      <c r="A156" s="3">
        <v>77</v>
      </c>
      <c r="B156" s="6" t="s">
        <v>237</v>
      </c>
      <c r="C156" s="3" t="s">
        <v>238</v>
      </c>
      <c r="D156" s="3" t="s">
        <v>239</v>
      </c>
      <c r="E156" s="3" t="s">
        <v>23</v>
      </c>
      <c r="F156" s="4" t="s">
        <v>1</v>
      </c>
      <c r="G156" s="10"/>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0"/>
      <c r="AJ156" s="10"/>
      <c r="AK156" s="11"/>
      <c r="AL156" s="11"/>
      <c r="AM156" s="13"/>
    </row>
    <row r="157" spans="1:39" ht="26.4" x14ac:dyDescent="0.25">
      <c r="A157" s="3">
        <v>78</v>
      </c>
      <c r="B157" s="6" t="s">
        <v>240</v>
      </c>
      <c r="C157" s="3" t="s">
        <v>241</v>
      </c>
      <c r="D157" s="3" t="s">
        <v>242</v>
      </c>
      <c r="E157" s="3" t="s">
        <v>23</v>
      </c>
      <c r="F157" s="3" t="s">
        <v>2</v>
      </c>
      <c r="G157" s="9" t="s">
        <v>324</v>
      </c>
      <c r="H157" s="1"/>
      <c r="I157" s="1"/>
      <c r="J157" s="1"/>
      <c r="K157" s="1"/>
      <c r="L157" s="1"/>
      <c r="M157" s="1"/>
      <c r="N157" s="1"/>
      <c r="O157" s="1"/>
      <c r="P157" s="1"/>
      <c r="Q157" s="1"/>
      <c r="R157" s="1"/>
      <c r="S157" s="1"/>
      <c r="T157" s="1"/>
      <c r="U157" s="1" t="s">
        <v>439</v>
      </c>
      <c r="V157" s="1"/>
      <c r="W157" s="1"/>
      <c r="X157" s="1"/>
      <c r="Y157" s="9"/>
      <c r="Z157" s="1"/>
      <c r="AA157" s="9"/>
      <c r="AB157" s="1"/>
      <c r="AC157" s="9"/>
      <c r="AD157" s="9"/>
      <c r="AE157" s="9"/>
      <c r="AF157" s="9"/>
      <c r="AG157" s="9"/>
      <c r="AH157" s="9"/>
      <c r="AI157" s="9"/>
      <c r="AJ157" s="9"/>
      <c r="AK157" s="9"/>
      <c r="AL157" s="9"/>
      <c r="AM157" s="12"/>
    </row>
    <row r="158" spans="1:39" ht="26.4" x14ac:dyDescent="0.25">
      <c r="A158" s="3">
        <v>78</v>
      </c>
      <c r="B158" s="6" t="s">
        <v>240</v>
      </c>
      <c r="C158" s="3" t="s">
        <v>241</v>
      </c>
      <c r="D158" s="3" t="s">
        <v>242</v>
      </c>
      <c r="E158" s="3" t="s">
        <v>23</v>
      </c>
      <c r="F158" s="4" t="s">
        <v>1</v>
      </c>
      <c r="G158" s="10"/>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0"/>
      <c r="AJ158" s="10"/>
      <c r="AK158" s="11"/>
      <c r="AL158" s="11"/>
      <c r="AM158" s="13"/>
    </row>
    <row r="159" spans="1:39" ht="26.4" x14ac:dyDescent="0.25">
      <c r="A159" s="3">
        <v>79</v>
      </c>
      <c r="B159" s="6" t="s">
        <v>243</v>
      </c>
      <c r="C159" s="3" t="s">
        <v>244</v>
      </c>
      <c r="D159" s="3" t="s">
        <v>245</v>
      </c>
      <c r="E159" s="3" t="s">
        <v>23</v>
      </c>
      <c r="F159" s="3" t="s">
        <v>2</v>
      </c>
      <c r="G159" s="9" t="s">
        <v>324</v>
      </c>
      <c r="H159" s="1"/>
      <c r="I159" s="1"/>
      <c r="J159" s="1"/>
      <c r="K159" s="1"/>
      <c r="L159" s="1"/>
      <c r="M159" s="1"/>
      <c r="N159" s="1"/>
      <c r="O159" s="1"/>
      <c r="P159" s="1"/>
      <c r="Q159" s="1"/>
      <c r="R159" s="1"/>
      <c r="S159" s="1"/>
      <c r="T159" s="1"/>
      <c r="U159" s="1" t="s">
        <v>437</v>
      </c>
      <c r="V159" s="1"/>
      <c r="W159" s="1"/>
      <c r="X159" s="1"/>
      <c r="Y159" s="9"/>
      <c r="Z159" s="1"/>
      <c r="AA159" s="9"/>
      <c r="AB159" s="1"/>
      <c r="AC159" s="9"/>
      <c r="AD159" s="9"/>
      <c r="AE159" s="9"/>
      <c r="AF159" s="9"/>
      <c r="AG159" s="9"/>
      <c r="AH159" s="9"/>
      <c r="AI159" s="9"/>
      <c r="AJ159" s="9"/>
      <c r="AK159" s="9"/>
      <c r="AL159" s="9"/>
      <c r="AM159" s="12"/>
    </row>
    <row r="160" spans="1:39" ht="26.4" x14ac:dyDescent="0.25">
      <c r="A160" s="3">
        <v>79</v>
      </c>
      <c r="B160" s="6" t="s">
        <v>243</v>
      </c>
      <c r="C160" s="3" t="s">
        <v>244</v>
      </c>
      <c r="D160" s="3" t="s">
        <v>245</v>
      </c>
      <c r="E160" s="3" t="s">
        <v>23</v>
      </c>
      <c r="F160" s="4" t="s">
        <v>1</v>
      </c>
      <c r="G160" s="10"/>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0"/>
      <c r="AJ160" s="10"/>
      <c r="AK160" s="11"/>
      <c r="AL160" s="11"/>
      <c r="AM160" s="13"/>
    </row>
    <row r="161" spans="1:39" x14ac:dyDescent="0.25">
      <c r="A161" s="3">
        <v>80</v>
      </c>
      <c r="B161" s="6" t="s">
        <v>246</v>
      </c>
      <c r="C161" s="3" t="s">
        <v>247</v>
      </c>
      <c r="D161" s="3" t="s">
        <v>248</v>
      </c>
      <c r="E161" s="3" t="s">
        <v>23</v>
      </c>
      <c r="F161" s="3" t="s">
        <v>2</v>
      </c>
      <c r="G161" s="9" t="s">
        <v>324</v>
      </c>
      <c r="H161" s="1"/>
      <c r="I161" s="1"/>
      <c r="J161" s="1"/>
      <c r="K161" s="1"/>
      <c r="L161" s="1"/>
      <c r="M161" s="1"/>
      <c r="N161" s="1"/>
      <c r="O161" s="1"/>
      <c r="P161" s="1"/>
      <c r="Q161" s="1"/>
      <c r="R161" s="1"/>
      <c r="S161" s="1"/>
      <c r="T161" s="1"/>
      <c r="U161" s="1" t="s">
        <v>440</v>
      </c>
      <c r="V161" s="1"/>
      <c r="W161" s="1"/>
      <c r="X161" s="1"/>
      <c r="Y161" s="9"/>
      <c r="Z161" s="1"/>
      <c r="AA161" s="9"/>
      <c r="AB161" s="1"/>
      <c r="AC161" s="9"/>
      <c r="AD161" s="9"/>
      <c r="AE161" s="9"/>
      <c r="AF161" s="9"/>
      <c r="AG161" s="9"/>
      <c r="AH161" s="9"/>
      <c r="AI161" s="9"/>
      <c r="AJ161" s="9"/>
      <c r="AK161" s="9"/>
      <c r="AL161" s="9"/>
      <c r="AM161" s="12"/>
    </row>
    <row r="162" spans="1:39" x14ac:dyDescent="0.25">
      <c r="A162" s="3">
        <v>80</v>
      </c>
      <c r="B162" s="6" t="s">
        <v>246</v>
      </c>
      <c r="C162" s="3" t="s">
        <v>247</v>
      </c>
      <c r="D162" s="3" t="s">
        <v>248</v>
      </c>
      <c r="E162" s="3" t="s">
        <v>23</v>
      </c>
      <c r="F162" s="4" t="s">
        <v>1</v>
      </c>
      <c r="G162" s="10"/>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0"/>
      <c r="AJ162" s="10"/>
      <c r="AK162" s="11"/>
      <c r="AL162" s="11"/>
      <c r="AM162" s="13"/>
    </row>
    <row r="163" spans="1:39" x14ac:dyDescent="0.25">
      <c r="A163" s="3">
        <v>81</v>
      </c>
      <c r="B163" s="6" t="s">
        <v>249</v>
      </c>
      <c r="C163" s="3" t="s">
        <v>250</v>
      </c>
      <c r="D163" s="3" t="s">
        <v>251</v>
      </c>
      <c r="E163" s="3" t="s">
        <v>23</v>
      </c>
      <c r="F163" s="3" t="s">
        <v>2</v>
      </c>
      <c r="G163" s="9" t="s">
        <v>324</v>
      </c>
      <c r="H163" s="1"/>
      <c r="I163" s="1"/>
      <c r="J163" s="1"/>
      <c r="K163" s="1"/>
      <c r="L163" s="1"/>
      <c r="M163" s="1"/>
      <c r="N163" s="1"/>
      <c r="O163" s="1"/>
      <c r="P163" s="1"/>
      <c r="Q163" s="1"/>
      <c r="R163" s="1"/>
      <c r="S163" s="1"/>
      <c r="T163" s="1"/>
      <c r="U163" s="1" t="s">
        <v>441</v>
      </c>
      <c r="V163" s="1"/>
      <c r="W163" s="1"/>
      <c r="X163" s="1"/>
      <c r="Y163" s="9"/>
      <c r="Z163" s="1"/>
      <c r="AA163" s="9"/>
      <c r="AB163" s="1"/>
      <c r="AC163" s="9"/>
      <c r="AD163" s="9"/>
      <c r="AE163" s="9"/>
      <c r="AF163" s="9"/>
      <c r="AG163" s="9"/>
      <c r="AH163" s="9"/>
      <c r="AI163" s="9"/>
      <c r="AJ163" s="9"/>
      <c r="AK163" s="9"/>
      <c r="AL163" s="9"/>
      <c r="AM163" s="12"/>
    </row>
    <row r="164" spans="1:39" x14ac:dyDescent="0.25">
      <c r="A164" s="3">
        <v>81</v>
      </c>
      <c r="B164" s="6" t="s">
        <v>249</v>
      </c>
      <c r="C164" s="3" t="s">
        <v>250</v>
      </c>
      <c r="D164" s="3" t="s">
        <v>251</v>
      </c>
      <c r="E164" s="3" t="s">
        <v>23</v>
      </c>
      <c r="F164" s="4" t="s">
        <v>1</v>
      </c>
      <c r="G164" s="10"/>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0"/>
      <c r="AJ164" s="10"/>
      <c r="AK164" s="11"/>
      <c r="AL164" s="11"/>
      <c r="AM164" s="13"/>
    </row>
    <row r="165" spans="1:39" x14ac:dyDescent="0.25">
      <c r="A165" s="3">
        <v>82</v>
      </c>
      <c r="B165" s="6" t="s">
        <v>252</v>
      </c>
      <c r="C165" s="3" t="s">
        <v>253</v>
      </c>
      <c r="D165" s="3" t="s">
        <v>254</v>
      </c>
      <c r="E165" s="3" t="s">
        <v>23</v>
      </c>
      <c r="F165" s="3" t="s">
        <v>2</v>
      </c>
      <c r="G165" s="9" t="s">
        <v>324</v>
      </c>
      <c r="H165" s="1"/>
      <c r="I165" s="1"/>
      <c r="J165" s="1"/>
      <c r="K165" s="1"/>
      <c r="L165" s="1"/>
      <c r="M165" s="1"/>
      <c r="N165" s="1"/>
      <c r="O165" s="1"/>
      <c r="P165" s="1"/>
      <c r="Q165" s="1"/>
      <c r="R165" s="1"/>
      <c r="S165" s="1"/>
      <c r="T165" s="1"/>
      <c r="U165" s="1" t="s">
        <v>442</v>
      </c>
      <c r="V165" s="1"/>
      <c r="W165" s="1"/>
      <c r="X165" s="1"/>
      <c r="Y165" s="9"/>
      <c r="Z165" s="1"/>
      <c r="AA165" s="9"/>
      <c r="AB165" s="1"/>
      <c r="AC165" s="9"/>
      <c r="AD165" s="9"/>
      <c r="AE165" s="9"/>
      <c r="AF165" s="9"/>
      <c r="AG165" s="9"/>
      <c r="AH165" s="9"/>
      <c r="AI165" s="9"/>
      <c r="AJ165" s="9"/>
      <c r="AK165" s="9"/>
      <c r="AL165" s="9"/>
      <c r="AM165" s="12"/>
    </row>
    <row r="166" spans="1:39" x14ac:dyDescent="0.25">
      <c r="A166" s="3">
        <v>82</v>
      </c>
      <c r="B166" s="6" t="s">
        <v>252</v>
      </c>
      <c r="C166" s="3" t="s">
        <v>253</v>
      </c>
      <c r="D166" s="3" t="s">
        <v>254</v>
      </c>
      <c r="E166" s="3" t="s">
        <v>23</v>
      </c>
      <c r="F166" s="4" t="s">
        <v>1</v>
      </c>
      <c r="G166" s="10"/>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0"/>
      <c r="AJ166" s="10"/>
      <c r="AK166" s="11"/>
      <c r="AL166" s="11"/>
      <c r="AM166" s="13"/>
    </row>
    <row r="167" spans="1:39" x14ac:dyDescent="0.25">
      <c r="A167" s="3">
        <v>83</v>
      </c>
      <c r="B167" s="6" t="s">
        <v>255</v>
      </c>
      <c r="C167" s="3" t="s">
        <v>256</v>
      </c>
      <c r="D167" s="3" t="s">
        <v>257</v>
      </c>
      <c r="E167" s="3" t="s">
        <v>23</v>
      </c>
      <c r="F167" s="3" t="s">
        <v>2</v>
      </c>
      <c r="G167" s="9" t="s">
        <v>324</v>
      </c>
      <c r="H167" s="1"/>
      <c r="I167" s="1"/>
      <c r="J167" s="1"/>
      <c r="K167" s="1"/>
      <c r="L167" s="1"/>
      <c r="M167" s="1"/>
      <c r="N167" s="1"/>
      <c r="O167" s="1"/>
      <c r="P167" s="1"/>
      <c r="Q167" s="1"/>
      <c r="R167" s="1"/>
      <c r="S167" s="1"/>
      <c r="T167" s="1"/>
      <c r="U167" s="1" t="s">
        <v>444</v>
      </c>
      <c r="V167" s="1"/>
      <c r="W167" s="1"/>
      <c r="X167" s="1"/>
      <c r="Y167" s="9"/>
      <c r="Z167" s="1"/>
      <c r="AA167" s="9"/>
      <c r="AB167" s="1"/>
      <c r="AC167" s="9"/>
      <c r="AD167" s="9"/>
      <c r="AE167" s="9"/>
      <c r="AF167" s="9"/>
      <c r="AG167" s="9"/>
      <c r="AH167" s="9"/>
      <c r="AI167" s="9"/>
      <c r="AJ167" s="9"/>
      <c r="AK167" s="9"/>
      <c r="AL167" s="9"/>
      <c r="AM167" s="12"/>
    </row>
    <row r="168" spans="1:39" x14ac:dyDescent="0.25">
      <c r="A168" s="3">
        <v>83</v>
      </c>
      <c r="B168" s="6" t="s">
        <v>255</v>
      </c>
      <c r="C168" s="3" t="s">
        <v>256</v>
      </c>
      <c r="D168" s="3" t="s">
        <v>257</v>
      </c>
      <c r="E168" s="3" t="s">
        <v>23</v>
      </c>
      <c r="F168" s="4" t="s">
        <v>1</v>
      </c>
      <c r="G168" s="10"/>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0"/>
      <c r="AJ168" s="10"/>
      <c r="AK168" s="11"/>
      <c r="AL168" s="11"/>
      <c r="AM168" s="13"/>
    </row>
    <row r="169" spans="1:39" x14ac:dyDescent="0.25">
      <c r="A169" s="3">
        <v>84</v>
      </c>
      <c r="B169" s="6" t="s">
        <v>258</v>
      </c>
      <c r="C169" s="3" t="s">
        <v>259</v>
      </c>
      <c r="D169" s="3" t="s">
        <v>260</v>
      </c>
      <c r="E169" s="3" t="s">
        <v>23</v>
      </c>
      <c r="F169" s="3" t="s">
        <v>2</v>
      </c>
      <c r="G169" s="9" t="s">
        <v>324</v>
      </c>
      <c r="H169" s="1"/>
      <c r="I169" s="1"/>
      <c r="J169" s="1"/>
      <c r="K169" s="1"/>
      <c r="L169" s="1"/>
      <c r="M169" s="1"/>
      <c r="N169" s="1"/>
      <c r="O169" s="1"/>
      <c r="P169" s="1"/>
      <c r="Q169" s="1"/>
      <c r="R169" s="1"/>
      <c r="S169" s="1"/>
      <c r="T169" s="1"/>
      <c r="U169" s="1" t="s">
        <v>445</v>
      </c>
      <c r="V169" s="1"/>
      <c r="W169" s="1"/>
      <c r="X169" s="1"/>
      <c r="Y169" s="9"/>
      <c r="Z169" s="1"/>
      <c r="AA169" s="9"/>
      <c r="AB169" s="1"/>
      <c r="AC169" s="9"/>
      <c r="AD169" s="9"/>
      <c r="AE169" s="9"/>
      <c r="AF169" s="9"/>
      <c r="AG169" s="9"/>
      <c r="AH169" s="9"/>
      <c r="AI169" s="9"/>
      <c r="AJ169" s="9"/>
      <c r="AK169" s="9"/>
      <c r="AL169" s="9"/>
      <c r="AM169" s="12"/>
    </row>
    <row r="170" spans="1:39" x14ac:dyDescent="0.25">
      <c r="A170" s="3">
        <v>84</v>
      </c>
      <c r="B170" s="6" t="s">
        <v>258</v>
      </c>
      <c r="C170" s="3" t="s">
        <v>259</v>
      </c>
      <c r="D170" s="3" t="s">
        <v>260</v>
      </c>
      <c r="E170" s="3" t="s">
        <v>23</v>
      </c>
      <c r="F170" s="4" t="s">
        <v>1</v>
      </c>
      <c r="G170" s="10"/>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0"/>
      <c r="AJ170" s="10"/>
      <c r="AK170" s="11"/>
      <c r="AL170" s="11"/>
      <c r="AM170" s="13"/>
    </row>
    <row r="171" spans="1:39" x14ac:dyDescent="0.25">
      <c r="A171" s="3">
        <v>85</v>
      </c>
      <c r="B171" s="6" t="s">
        <v>261</v>
      </c>
      <c r="C171" s="3" t="s">
        <v>262</v>
      </c>
      <c r="D171" s="3" t="s">
        <v>263</v>
      </c>
      <c r="E171" s="3" t="s">
        <v>23</v>
      </c>
      <c r="F171" s="3" t="s">
        <v>2</v>
      </c>
      <c r="G171" s="9" t="s">
        <v>324</v>
      </c>
      <c r="H171" s="1"/>
      <c r="I171" s="1"/>
      <c r="J171" s="1"/>
      <c r="K171" s="1"/>
      <c r="L171" s="1"/>
      <c r="M171" s="1"/>
      <c r="N171" s="1"/>
      <c r="O171" s="1"/>
      <c r="P171" s="1"/>
      <c r="Q171" s="1"/>
      <c r="R171" s="1"/>
      <c r="S171" s="1"/>
      <c r="T171" s="1"/>
      <c r="U171" s="1" t="s">
        <v>443</v>
      </c>
      <c r="V171" s="1"/>
      <c r="W171" s="1"/>
      <c r="X171" s="1"/>
      <c r="Y171" s="9"/>
      <c r="Z171" s="1"/>
      <c r="AA171" s="9"/>
      <c r="AB171" s="1"/>
      <c r="AC171" s="9"/>
      <c r="AD171" s="9"/>
      <c r="AE171" s="9"/>
      <c r="AF171" s="9"/>
      <c r="AG171" s="9"/>
      <c r="AH171" s="9"/>
      <c r="AI171" s="9"/>
      <c r="AJ171" s="9"/>
      <c r="AK171" s="9"/>
      <c r="AL171" s="9"/>
      <c r="AM171" s="12"/>
    </row>
    <row r="172" spans="1:39" x14ac:dyDescent="0.25">
      <c r="A172" s="3">
        <v>85</v>
      </c>
      <c r="B172" s="6" t="s">
        <v>261</v>
      </c>
      <c r="C172" s="3" t="s">
        <v>262</v>
      </c>
      <c r="D172" s="3" t="s">
        <v>263</v>
      </c>
      <c r="E172" s="3" t="s">
        <v>23</v>
      </c>
      <c r="F172" s="4" t="s">
        <v>1</v>
      </c>
      <c r="G172" s="10"/>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0"/>
      <c r="AJ172" s="10"/>
      <c r="AK172" s="11"/>
      <c r="AL172" s="11"/>
      <c r="AM172" s="13"/>
    </row>
    <row r="173" spans="1:39" x14ac:dyDescent="0.25">
      <c r="A173" s="3">
        <v>86</v>
      </c>
      <c r="B173" s="6" t="s">
        <v>264</v>
      </c>
      <c r="C173" s="3" t="s">
        <v>265</v>
      </c>
      <c r="D173" s="3" t="s">
        <v>266</v>
      </c>
      <c r="E173" s="3" t="s">
        <v>10</v>
      </c>
      <c r="F173" s="3" t="s">
        <v>2</v>
      </c>
      <c r="G173" s="9" t="s">
        <v>272</v>
      </c>
      <c r="H173" s="1"/>
      <c r="I173" s="1"/>
      <c r="J173" s="1"/>
      <c r="K173" s="1"/>
      <c r="L173" s="1"/>
      <c r="M173" s="1"/>
      <c r="N173" s="1"/>
      <c r="O173" s="1"/>
      <c r="P173" s="1"/>
      <c r="Q173" s="1"/>
      <c r="R173" s="1"/>
      <c r="S173" s="1"/>
      <c r="T173" s="1"/>
      <c r="U173" s="1"/>
      <c r="V173" s="1"/>
      <c r="W173" s="1" t="s">
        <v>446</v>
      </c>
      <c r="X173" s="1" t="s">
        <v>447</v>
      </c>
      <c r="Y173" s="9"/>
      <c r="Z173" s="1"/>
      <c r="AA173" s="9"/>
      <c r="AB173" s="1"/>
      <c r="AC173" s="9"/>
      <c r="AD173" s="9"/>
      <c r="AE173" s="9"/>
      <c r="AF173" s="9"/>
      <c r="AG173" s="9"/>
      <c r="AH173" s="9"/>
      <c r="AI173" s="9"/>
      <c r="AJ173" s="9"/>
      <c r="AK173" s="9"/>
      <c r="AL173" s="9"/>
      <c r="AM173" s="12"/>
    </row>
    <row r="174" spans="1:39" x14ac:dyDescent="0.25">
      <c r="A174" s="3">
        <v>86</v>
      </c>
      <c r="B174" s="6" t="s">
        <v>264</v>
      </c>
      <c r="C174" s="3" t="s">
        <v>265</v>
      </c>
      <c r="D174" s="3" t="s">
        <v>266</v>
      </c>
      <c r="E174" s="3" t="s">
        <v>10</v>
      </c>
      <c r="F174" s="4" t="s">
        <v>1</v>
      </c>
      <c r="G174" s="10"/>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0"/>
      <c r="AJ174" s="10"/>
      <c r="AK174" s="11"/>
      <c r="AL174" s="11"/>
      <c r="AM174" s="13"/>
    </row>
  </sheetData>
  <autoFilter ref="A2:E2">
    <sortState ref="A3:E88">
      <sortCondition ref="A2"/>
    </sortState>
  </autoFilter>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FieldNames</vt:lpstr>
      <vt:lpstr>Registers</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nz3zln</dc:creator>
  <cp:lastModifiedBy>Jason Erlenbeck</cp:lastModifiedBy>
  <dcterms:created xsi:type="dcterms:W3CDTF">2010-11-16T21:08:58Z</dcterms:created>
  <dcterms:modified xsi:type="dcterms:W3CDTF">2016-12-12T22:15:27Z</dcterms:modified>
</cp:coreProperties>
</file>